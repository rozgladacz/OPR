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kbjsa-my.sharepoint.com/personal/mlis_kbj_com_pl/Documents/Dokumenty/GitHub/OPR/Aplikacja/"/>
    </mc:Choice>
  </mc:AlternateContent>
  <xr:revisionPtr revIDLastSave="19" documentId="8_{39B51C19-8998-4524-B3FA-16C6A0152471}" xr6:coauthVersionLast="47" xr6:coauthVersionMax="47" xr10:uidLastSave="{A5C90B47-EA73-4215-AA4F-6A0824693EBA}"/>
  <bookViews>
    <workbookView xWindow="-120" yWindow="-120" windowWidth="51840" windowHeight="21120" activeTab="1" xr2:uid="{6B07ADD3-8F4A-445F-BB45-3A754C44D8E7}"/>
  </bookViews>
  <sheets>
    <sheet name="Zbrojownia" sheetId="5" r:id="rId1"/>
    <sheet name="Gwardia" sheetId="4" r:id="rId2"/>
    <sheet name="SM" sheetId="6" r:id="rId3"/>
    <sheet name="Orkowie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7" i="7" l="1"/>
  <c r="B36" i="7"/>
  <c r="K22" i="4" a="1"/>
  <c r="K28" i="4" a="1"/>
  <c r="K20" i="4" a="1"/>
  <c r="K31" i="4" a="1"/>
  <c r="G18" i="5" a="1"/>
  <c r="G9" i="5" a="1"/>
  <c r="K8" i="4" a="1"/>
  <c r="K40" i="4" a="1"/>
  <c r="G6" i="5" a="1"/>
  <c r="K30" i="7" a="1"/>
  <c r="K3" i="4" a="1"/>
  <c r="K10" i="4" a="1"/>
  <c r="K12" i="4" a="1"/>
  <c r="K14" i="4" a="1"/>
  <c r="G26" i="5" a="1"/>
  <c r="G29" i="5" a="1"/>
  <c r="K43" i="4" a="1"/>
  <c r="K28" i="7" a="1"/>
  <c r="K21" i="7" a="1"/>
  <c r="K35" i="7" a="1"/>
  <c r="K6" i="4" a="1"/>
  <c r="C43" i="4" a="1"/>
  <c r="K36" i="4" a="1"/>
  <c r="G34" i="5" a="1"/>
  <c r="G22" i="5" a="1"/>
  <c r="G33" i="5" a="1"/>
  <c r="G23" i="5" a="1"/>
  <c r="K26" i="4" a="1"/>
  <c r="G37" i="5" a="1"/>
  <c r="K19" i="4" a="1"/>
  <c r="G12" i="5" a="1"/>
  <c r="K34" i="7" a="1"/>
  <c r="J34" i="4" a="1"/>
  <c r="K17" i="4" a="1"/>
  <c r="K21" i="4" a="1"/>
  <c r="G15" i="5" a="1"/>
  <c r="G25" i="5" a="1"/>
  <c r="K38" i="4" a="1"/>
  <c r="K24" i="4" a="1"/>
  <c r="G10" i="5" a="1"/>
  <c r="C34" i="7" a="1"/>
  <c r="K13" i="4" a="1"/>
  <c r="G13" i="5" a="1"/>
  <c r="G38" i="5" a="1"/>
  <c r="G35" i="5" a="1"/>
  <c r="G36" i="5" a="1"/>
  <c r="K29" i="4" a="1"/>
  <c r="G19" i="5" a="1"/>
  <c r="C28" i="7" a="1"/>
  <c r="K37" i="4" a="1"/>
  <c r="K27" i="4" a="1"/>
  <c r="J4" i="4" a="1"/>
  <c r="G4" i="5" a="1"/>
  <c r="C3" i="7" a="1"/>
  <c r="K3" i="6" a="1"/>
  <c r="K18" i="4" a="1"/>
  <c r="K32" i="4" a="1"/>
  <c r="K44" i="4" a="1"/>
  <c r="G7" i="5" a="1"/>
  <c r="G20" i="5" a="1"/>
  <c r="G16" i="5" a="1"/>
  <c r="G30" i="5" a="1"/>
  <c r="G27" i="5" a="1"/>
  <c r="K5" i="4" a="1"/>
  <c r="C9" i="6" a="1"/>
  <c r="K11" i="4" a="1"/>
  <c r="K4" i="4" a="1"/>
  <c r="K42" i="4" a="1"/>
  <c r="G5" i="5" a="1"/>
  <c r="G28" i="5" a="1"/>
  <c r="G3" i="5" a="1"/>
  <c r="G31" i="5" a="1"/>
  <c r="K16" i="4" a="1"/>
  <c r="K39" i="4" a="1"/>
  <c r="G17" i="5" a="1"/>
  <c r="K9" i="4" a="1"/>
  <c r="K23" i="4" a="1"/>
  <c r="K34" i="4" a="1"/>
  <c r="K30" i="4" a="1"/>
  <c r="G14" i="5" a="1"/>
  <c r="J5" i="4" a="1"/>
  <c r="K45" i="4" a="1"/>
  <c r="K33" i="4" a="1"/>
  <c r="G32" i="5" a="1"/>
  <c r="G24" i="5" a="1"/>
  <c r="K35" i="4" a="1"/>
  <c r="K15" i="4" a="1"/>
  <c r="J39" i="4" a="1"/>
  <c r="K25" i="4" a="1"/>
  <c r="G8" i="5" a="1"/>
  <c r="G11" i="5" a="1"/>
  <c r="K41" i="4" a="1"/>
  <c r="K7" i="4" a="1"/>
  <c r="G21" i="5" a="1"/>
  <c r="G3" i="5" l="1"/>
  <c r="G26" i="5"/>
  <c r="G38" i="5"/>
  <c r="K30" i="7"/>
  <c r="K3" i="6"/>
  <c r="J4" i="4"/>
  <c r="G27" i="5"/>
  <c r="J5" i="4"/>
  <c r="G31" i="5"/>
  <c r="G17" i="5"/>
  <c r="G37" i="5"/>
  <c r="G30" i="5"/>
  <c r="G23" i="5"/>
  <c r="G16" i="5"/>
  <c r="G9" i="5"/>
  <c r="G10" i="5"/>
  <c r="G24" i="5"/>
  <c r="G36" i="5"/>
  <c r="G29" i="5"/>
  <c r="G22" i="5"/>
  <c r="G15" i="5"/>
  <c r="G8" i="5"/>
  <c r="G35" i="5"/>
  <c r="G28" i="5"/>
  <c r="G21" i="5"/>
  <c r="G14" i="5"/>
  <c r="G7" i="5"/>
  <c r="G34" i="5"/>
  <c r="G20" i="5"/>
  <c r="G13" i="5"/>
  <c r="G6" i="5"/>
  <c r="G33" i="5"/>
  <c r="G19" i="5"/>
  <c r="G12" i="5"/>
  <c r="G5" i="5"/>
  <c r="G32" i="5"/>
  <c r="G25" i="5"/>
  <c r="G18" i="5"/>
  <c r="G11" i="5"/>
  <c r="G4" i="5"/>
  <c r="K44" i="4"/>
  <c r="B44" i="4" s="1"/>
  <c r="K43" i="4"/>
  <c r="K39" i="4"/>
  <c r="K45" i="4"/>
  <c r="B45" i="4" s="1"/>
  <c r="K42" i="4"/>
  <c r="K41" i="4"/>
  <c r="K40" i="4"/>
  <c r="K38" i="4"/>
  <c r="K37" i="4"/>
  <c r="K35" i="4"/>
  <c r="K36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5" i="4"/>
  <c r="K14" i="4"/>
  <c r="K11" i="4"/>
  <c r="K10" i="4"/>
  <c r="K9" i="4"/>
  <c r="K8" i="4"/>
  <c r="K7" i="4"/>
  <c r="K13" i="4"/>
  <c r="K6" i="4"/>
  <c r="K12" i="4"/>
  <c r="K4" i="4"/>
  <c r="K3" i="4"/>
  <c r="J34" i="4"/>
  <c r="J39" i="4"/>
  <c r="C9" i="6"/>
  <c r="C34" i="7"/>
  <c r="C28" i="7"/>
  <c r="C3" i="7"/>
  <c r="K35" i="7"/>
  <c r="B35" i="7" s="1"/>
  <c r="K34" i="7"/>
  <c r="K21" i="7"/>
  <c r="K28" i="7"/>
  <c r="C43" i="4"/>
  <c r="B34" i="7" l="1"/>
  <c r="A34" i="7" s="1"/>
  <c r="B43" i="4"/>
  <c r="A43" i="4" s="1"/>
  <c r="J30" i="7" l="1"/>
  <c r="B33" i="7"/>
  <c r="B38" i="7"/>
  <c r="B39" i="7"/>
  <c r="B40" i="7"/>
  <c r="B41" i="7"/>
  <c r="B42" i="7"/>
  <c r="B43" i="7"/>
  <c r="B31" i="7"/>
  <c r="C15" i="7" a="1"/>
  <c r="K29" i="7" a="1"/>
  <c r="C9" i="7" a="1"/>
  <c r="C21" i="7" a="1"/>
  <c r="C38" i="4" a="1"/>
  <c r="K29" i="7" l="1"/>
  <c r="B29" i="7" s="1"/>
  <c r="B30" i="7"/>
  <c r="B28" i="7"/>
  <c r="A28" i="7" s="1"/>
  <c r="C9" i="7"/>
  <c r="C15" i="7"/>
  <c r="C21" i="7"/>
  <c r="C38" i="4"/>
  <c r="B24" i="7"/>
  <c r="B18" i="7"/>
  <c r="B27" i="7"/>
  <c r="B26" i="7"/>
  <c r="B25" i="7"/>
  <c r="B20" i="7"/>
  <c r="B19" i="7"/>
  <c r="B14" i="7"/>
  <c r="B13" i="7"/>
  <c r="B12" i="7"/>
  <c r="B8" i="7"/>
  <c r="B7" i="7"/>
  <c r="B6" i="7"/>
  <c r="B5" i="7"/>
  <c r="B11" i="6"/>
  <c r="B12" i="6"/>
  <c r="B13" i="6"/>
  <c r="B14" i="6"/>
  <c r="B17" i="6"/>
  <c r="B18" i="6"/>
  <c r="B19" i="6"/>
  <c r="B20" i="6"/>
  <c r="B25" i="6"/>
  <c r="B26" i="6"/>
  <c r="B27" i="6"/>
  <c r="B5" i="6"/>
  <c r="B6" i="6"/>
  <c r="B7" i="6"/>
  <c r="B8" i="6"/>
  <c r="K9" i="7" a="1"/>
  <c r="K4" i="7" a="1"/>
  <c r="K15" i="7" a="1"/>
  <c r="K3" i="7" a="1"/>
  <c r="C21" i="6" a="1"/>
  <c r="C15" i="6" a="1"/>
  <c r="C3" i="6" a="1"/>
  <c r="C33" i="4" a="1"/>
  <c r="K11" i="7" a="1"/>
  <c r="C19" i="4" a="1"/>
  <c r="C14" i="4" a="1"/>
  <c r="K23" i="7" a="1"/>
  <c r="C3" i="4" a="1"/>
  <c r="K22" i="7" a="1"/>
  <c r="K16" i="7" a="1"/>
  <c r="K10" i="7" a="1"/>
  <c r="K17" i="7" a="1"/>
  <c r="C28" i="4" a="1"/>
  <c r="C33" i="4" l="1"/>
  <c r="C28" i="4"/>
  <c r="C19" i="4"/>
  <c r="C3" i="4"/>
  <c r="C15" i="6"/>
  <c r="C21" i="6"/>
  <c r="C3" i="6"/>
  <c r="K22" i="7"/>
  <c r="B22" i="7" s="1"/>
  <c r="K23" i="7"/>
  <c r="B23" i="7" s="1"/>
  <c r="K15" i="7"/>
  <c r="K17" i="7"/>
  <c r="B17" i="7" s="1"/>
  <c r="K16" i="7"/>
  <c r="B16" i="7" s="1"/>
  <c r="K11" i="7"/>
  <c r="B11" i="7" s="1"/>
  <c r="K10" i="7"/>
  <c r="B10" i="7" s="1"/>
  <c r="K9" i="7"/>
  <c r="K4" i="7"/>
  <c r="B4" i="7" s="1"/>
  <c r="K3" i="7"/>
  <c r="C14" i="4"/>
  <c r="B40" i="4"/>
  <c r="B22" i="4"/>
  <c r="B23" i="4"/>
  <c r="B26" i="4"/>
  <c r="B27" i="4"/>
  <c r="B30" i="4"/>
  <c r="B31" i="4"/>
  <c r="B32" i="4"/>
  <c r="B35" i="4"/>
  <c r="B36" i="4"/>
  <c r="J16" i="4"/>
  <c r="J15" i="4"/>
  <c r="K24" i="6" a="1"/>
  <c r="K23" i="6" a="1"/>
  <c r="K9" i="6" a="1"/>
  <c r="K4" i="6" a="1"/>
  <c r="K16" i="6" a="1"/>
  <c r="K21" i="6" a="1"/>
  <c r="K10" i="6" a="1"/>
  <c r="C24" i="4" a="1"/>
  <c r="K15" i="6" a="1"/>
  <c r="K22" i="6" a="1"/>
  <c r="B21" i="7" l="1"/>
  <c r="A21" i="7" s="1"/>
  <c r="B15" i="7"/>
  <c r="A15" i="7" s="1"/>
  <c r="B9" i="7"/>
  <c r="B3" i="7"/>
  <c r="K24" i="6"/>
  <c r="B24" i="6" s="1"/>
  <c r="K23" i="6"/>
  <c r="B23" i="6" s="1"/>
  <c r="K22" i="6"/>
  <c r="B22" i="6" s="1"/>
  <c r="K21" i="6"/>
  <c r="B21" i="6" s="1"/>
  <c r="A21" i="6" s="1"/>
  <c r="K16" i="6"/>
  <c r="B16" i="6" s="1"/>
  <c r="K15" i="6"/>
  <c r="K9" i="6"/>
  <c r="B9" i="6" s="1"/>
  <c r="K10" i="6"/>
  <c r="B10" i="6" s="1"/>
  <c r="K4" i="6"/>
  <c r="B4" i="6" s="1"/>
  <c r="B39" i="4"/>
  <c r="B33" i="4"/>
  <c r="B34" i="4"/>
  <c r="B21" i="4"/>
  <c r="C24" i="4"/>
  <c r="B29" i="4"/>
  <c r="B25" i="4"/>
  <c r="B28" i="4"/>
  <c r="A28" i="4" s="1"/>
  <c r="A9" i="7" l="1"/>
  <c r="A9" i="6"/>
  <c r="A3" i="7"/>
  <c r="A33" i="4"/>
  <c r="B1" i="7"/>
  <c r="B15" i="6"/>
  <c r="A15" i="6" s="1"/>
  <c r="B24" i="4"/>
  <c r="A24" i="4" s="1"/>
  <c r="B38" i="4"/>
  <c r="A38" i="4" s="1"/>
  <c r="B3" i="6"/>
  <c r="A3" i="6" s="1"/>
  <c r="B3" i="4"/>
  <c r="B4" i="4"/>
  <c r="B5" i="4"/>
  <c r="B6" i="4"/>
  <c r="B7" i="4"/>
  <c r="B8" i="4"/>
  <c r="B9" i="4"/>
  <c r="B10" i="4"/>
  <c r="B11" i="4"/>
  <c r="B12" i="4"/>
  <c r="B13" i="4"/>
  <c r="B15" i="4"/>
  <c r="B16" i="4"/>
  <c r="B17" i="4"/>
  <c r="B18" i="4"/>
  <c r="B20" i="4"/>
  <c r="A3" i="4" l="1"/>
  <c r="B19" i="4"/>
  <c r="A19" i="4" s="1"/>
  <c r="B14" i="4"/>
  <c r="A1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<sst xmlns="http://schemas.openxmlformats.org/spreadsheetml/2006/main" count="289" uniqueCount="130">
  <si>
    <t>Nazwa</t>
  </si>
  <si>
    <t>Cena</t>
  </si>
  <si>
    <t>AP</t>
  </si>
  <si>
    <t>Jednostka</t>
  </si>
  <si>
    <t>Jakość</t>
  </si>
  <si>
    <t>Obrona</t>
  </si>
  <si>
    <t>Wytrzymałość</t>
  </si>
  <si>
    <t>Ilość</t>
  </si>
  <si>
    <t>Ataków</t>
  </si>
  <si>
    <t>Zasięg</t>
  </si>
  <si>
    <t>Piechota</t>
  </si>
  <si>
    <t>Lasgun</t>
  </si>
  <si>
    <t>Laspistol</t>
  </si>
  <si>
    <t>Granatnik</t>
  </si>
  <si>
    <t>Miotacz ognia</t>
  </si>
  <si>
    <t>Meltagun</t>
  </si>
  <si>
    <t>Lekki bolter</t>
  </si>
  <si>
    <t>Sztandar</t>
  </si>
  <si>
    <t>Medyk</t>
  </si>
  <si>
    <t>Zolność</t>
  </si>
  <si>
    <t>Specjalne</t>
  </si>
  <si>
    <t>Broń</t>
  </si>
  <si>
    <t>Piłomiecz</t>
  </si>
  <si>
    <t>Karbin plazmowy</t>
  </si>
  <si>
    <t>Broń osobista</t>
  </si>
  <si>
    <t>Miecz energetyczny</t>
  </si>
  <si>
    <t>Rękawica energetyczna</t>
  </si>
  <si>
    <t>Weterani</t>
  </si>
  <si>
    <t>Szczuraki</t>
  </si>
  <si>
    <t>Oficer</t>
  </si>
  <si>
    <t>Lekka broń osobista</t>
  </si>
  <si>
    <t>Strzelcy</t>
  </si>
  <si>
    <t>Szturmowy</t>
  </si>
  <si>
    <t>Hellgun</t>
  </si>
  <si>
    <t>Piłorękawica</t>
  </si>
  <si>
    <t>Bez regeneracji, Rozrywający</t>
  </si>
  <si>
    <t>Lekka broń ręczna</t>
  </si>
  <si>
    <t>Broń ręczna</t>
  </si>
  <si>
    <t>Eviscertaor</t>
  </si>
  <si>
    <t>Ogryn-pałka</t>
  </si>
  <si>
    <t>Młot energetyczny</t>
  </si>
  <si>
    <t>Rozprysk 3</t>
  </si>
  <si>
    <t>Lanca</t>
  </si>
  <si>
    <t>Włócznia</t>
  </si>
  <si>
    <t>Vollyegun</t>
  </si>
  <si>
    <t>Lascanon</t>
  </si>
  <si>
    <t>Multilaser</t>
  </si>
  <si>
    <t xml:space="preserve">Bolt pistol </t>
  </si>
  <si>
    <t>Bolter</t>
  </si>
  <si>
    <t>Szturmowy, Bez regeneracji, Rozrywający</t>
  </si>
  <si>
    <t>Ciężki bolter</t>
  </si>
  <si>
    <t>Storm bolter</t>
  </si>
  <si>
    <t>Pistolet plazmowy</t>
  </si>
  <si>
    <t>Lekki karabin plazmowy</t>
  </si>
  <si>
    <t>Działo plazmowe</t>
  </si>
  <si>
    <t>Lekki granatnik</t>
  </si>
  <si>
    <t>Moździerz</t>
  </si>
  <si>
    <t>Ręczny miotacz ognia</t>
  </si>
  <si>
    <t>Ciężki miotacz ognia</t>
  </si>
  <si>
    <t>Lekki miotacz ognia</t>
  </si>
  <si>
    <t>Strzelba</t>
  </si>
  <si>
    <t>Szturmowa</t>
  </si>
  <si>
    <t>Fearless</t>
  </si>
  <si>
    <t>Snajperka</t>
  </si>
  <si>
    <t>Precyzyjna, Niezawodna</t>
  </si>
  <si>
    <t>Strażnik</t>
  </si>
  <si>
    <t>Maskowanie</t>
  </si>
  <si>
    <t>Ogryni</t>
  </si>
  <si>
    <t>Wojownik</t>
  </si>
  <si>
    <t>Furia</t>
  </si>
  <si>
    <t>Tarcza</t>
  </si>
  <si>
    <t>Pałka energetyczna</t>
  </si>
  <si>
    <t>Straceńcy</t>
  </si>
  <si>
    <t>Walkiria</t>
  </si>
  <si>
    <t>Strzelec</t>
  </si>
  <si>
    <t>Transport (11)</t>
  </si>
  <si>
    <t>Samolot</t>
  </si>
  <si>
    <t>Rakiety</t>
  </si>
  <si>
    <t>Chimera</t>
  </si>
  <si>
    <t>Fast</t>
  </si>
  <si>
    <t>Marines</t>
  </si>
  <si>
    <t>Motory</t>
  </si>
  <si>
    <t>Podwójny bolter</t>
  </si>
  <si>
    <t>Terminatorzy</t>
  </si>
  <si>
    <t>Niewrażliwy</t>
  </si>
  <si>
    <t>Wolny</t>
  </si>
  <si>
    <t>Drednot</t>
  </si>
  <si>
    <t>Pięść energryczna</t>
  </si>
  <si>
    <t>Multimelta</t>
  </si>
  <si>
    <t>Miażdżenie</t>
  </si>
  <si>
    <t>Chopaki</t>
  </si>
  <si>
    <t>Dziabacz</t>
  </si>
  <si>
    <t>Strzelacz</t>
  </si>
  <si>
    <t>Śrutowiec</t>
  </si>
  <si>
    <t>Bad Shot</t>
  </si>
  <si>
    <t>Pazur</t>
  </si>
  <si>
    <t>Rakietka</t>
  </si>
  <si>
    <t>Dzida</t>
  </si>
  <si>
    <t>Paszcza</t>
  </si>
  <si>
    <t>Rozrywający</t>
  </si>
  <si>
    <t>Transport(11)</t>
  </si>
  <si>
    <t>Wielka kula</t>
  </si>
  <si>
    <t>Sentinel</t>
  </si>
  <si>
    <t>Motury</t>
  </si>
  <si>
    <t>Ultrasy</t>
  </si>
  <si>
    <t>Squigi</t>
  </si>
  <si>
    <t>Ciężarufka</t>
  </si>
  <si>
    <t>Grotbus</t>
  </si>
  <si>
    <t>Śmieci</t>
  </si>
  <si>
    <t>niezgrabny</t>
  </si>
  <si>
    <t>Niezgrabna</t>
  </si>
  <si>
    <t>Impet</t>
  </si>
  <si>
    <t>Aura regeneracja</t>
  </si>
  <si>
    <t>Dobrze strzela</t>
  </si>
  <si>
    <t>Deptanie</t>
  </si>
  <si>
    <t>Taranowanie</t>
  </si>
  <si>
    <t>Aura(12) fearless</t>
  </si>
  <si>
    <t>Overcharge</t>
  </si>
  <si>
    <t>Overcharge, Rozprysk 3</t>
  </si>
  <si>
    <t>Szturmowy, Overcharge</t>
  </si>
  <si>
    <t>Cena oddziału</t>
  </si>
  <si>
    <t>Cena Częściowa</t>
  </si>
  <si>
    <t>Rozrywający 3</t>
  </si>
  <si>
    <t>Zabójczy 3</t>
  </si>
  <si>
    <t>Zabójczy 3, Rozrwyająca</t>
  </si>
  <si>
    <t>Zabójczy 2</t>
  </si>
  <si>
    <t>Ograniczony, Zabójczy 3</t>
  </si>
  <si>
    <t>Rozprysk 3, Niezawodny, Bez osłony</t>
  </si>
  <si>
    <t>Rozprysk 3, Niezawodny, Bez osłony, No regen</t>
  </si>
  <si>
    <t>Rozprysk 3, Niebezpośredni, Ciężki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</si>
</sst>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8"/>
      <color theme="1"/>
      <name val="Aptos Narrow"/>
      <family val="2"/>
      <charset val="238"/>
      <scheme val="minor"/>
    </font>
    <font>
      <sz val="8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Border="1"/>
    <xf numFmtId="0" fontId="1" fillId="0" borderId="0" xfId="0" applyFont="1" applyAlignment="1">
      <alignment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1FB2A-E4E9-4195-9EB2-BDB6EA5504AC}">
  <sheetPr codeName="Arkusz1"/>
  <dimension ref="B2:M38"/>
  <sheetViews>
    <sheetView workbookViewId="0">
      <selection activeCell="H42" sqref="H42"/>
    </sheetView>
  </sheetViews>
  <sheetFormatPr defaultRowHeight="15" x14ac:dyDescent="0.25"/>
  <cols>
    <col min="3" max="6" width="0" hidden="1" customWidth="1"/>
    <col min="7" max="7" width="9.42578125" bestFit="1" customWidth="1"/>
    <col min="8" max="8" width="17.85546875" customWidth="1"/>
    <col min="9" max="9" width="9.140625" style="2"/>
    <col min="10" max="10" width="0" style="2" hidden="1" customWidth="1"/>
    <col min="11" max="12" width="9.140625" style="2"/>
  </cols>
  <sheetData>
    <row r="2" spans="2:13" x14ac:dyDescent="0.25">
      <c r="B2" t="s">
        <v>4</v>
      </c>
      <c r="G2" t="s">
        <v>1</v>
      </c>
      <c r="H2" t="s">
        <v>0</v>
      </c>
      <c r="I2" s="2" t="s">
        <v>9</v>
      </c>
      <c r="J2" s="2" t="s">
        <v>7</v>
      </c>
      <c r="K2" s="2" t="s">
        <v>8</v>
      </c>
      <c r="L2" s="2" t="s">
        <v>2</v>
      </c>
      <c r="M2" t="s">
        <v>20</v>
      </c>
    </row>
    <row r="3" spans="2:13" x14ac:dyDescent="0.25">
      <c r="B3">
        <v>4</v>
      </c>
      <c r="G3" s="4" cm="1">
        <f t="array" ref="G3">KosztBroni(B3,I3:M3,E3:E6)</f>
        <v>2.88</v>
      </c>
      <c r="H3" s="4" t="s">
        <v>36</v>
      </c>
      <c r="I3" s="5"/>
      <c r="J3" s="5"/>
      <c r="K3" s="5">
        <v>1</v>
      </c>
      <c r="L3" s="5">
        <v>-1</v>
      </c>
      <c r="M3" s="4"/>
    </row>
    <row r="4" spans="2:13" x14ac:dyDescent="0.25">
      <c r="B4">
        <v>4</v>
      </c>
      <c r="G4" cm="1">
        <f t="array" ref="G4">KosztBroni(B4,I4:M4,E4:E7)</f>
        <v>3.5999999999999996</v>
      </c>
      <c r="H4" t="s">
        <v>37</v>
      </c>
      <c r="K4" s="2">
        <v>1</v>
      </c>
      <c r="L4" s="2">
        <v>0</v>
      </c>
    </row>
    <row r="5" spans="2:13" x14ac:dyDescent="0.25">
      <c r="B5">
        <v>4</v>
      </c>
      <c r="G5" cm="1">
        <f t="array" ref="G5">KosztBroni(B5,I5:M5,E5:E8)</f>
        <v>7.1999999999999993</v>
      </c>
      <c r="H5" t="s">
        <v>22</v>
      </c>
      <c r="K5" s="2">
        <v>2</v>
      </c>
      <c r="L5" s="2">
        <v>0</v>
      </c>
    </row>
    <row r="6" spans="2:13" x14ac:dyDescent="0.25">
      <c r="B6">
        <v>4</v>
      </c>
      <c r="G6" cm="1">
        <f t="array" ref="G6">KosztBroni(B6,I6:M6,E6:E9)</f>
        <v>14.58</v>
      </c>
      <c r="H6" t="s">
        <v>38</v>
      </c>
      <c r="K6" s="2">
        <v>3</v>
      </c>
      <c r="L6" s="2">
        <v>0</v>
      </c>
      <c r="M6" t="s">
        <v>111</v>
      </c>
    </row>
    <row r="7" spans="2:13" x14ac:dyDescent="0.25">
      <c r="B7">
        <v>4</v>
      </c>
      <c r="G7" cm="1">
        <f t="array" ref="G7">KosztBroni(B7,I7:M7,E7:E10)</f>
        <v>13.679999999999998</v>
      </c>
      <c r="H7" t="s">
        <v>25</v>
      </c>
      <c r="K7" s="2">
        <v>2</v>
      </c>
      <c r="L7" s="2">
        <v>2</v>
      </c>
    </row>
    <row r="8" spans="2:13" x14ac:dyDescent="0.25">
      <c r="B8">
        <v>4</v>
      </c>
      <c r="G8" cm="1">
        <f t="array" ref="G8">KosztBroni(B8,I8:M8,E8:E11)</f>
        <v>17.783999999999999</v>
      </c>
      <c r="H8" t="s">
        <v>26</v>
      </c>
      <c r="K8" s="2">
        <v>1</v>
      </c>
      <c r="L8" s="2">
        <v>2</v>
      </c>
      <c r="M8" t="s">
        <v>123</v>
      </c>
    </row>
    <row r="9" spans="2:13" x14ac:dyDescent="0.25">
      <c r="B9">
        <v>4</v>
      </c>
      <c r="G9" cm="1">
        <f t="array" ref="G9">KosztBroni(B9,I9:M9,E9:E12)</f>
        <v>28.08</v>
      </c>
      <c r="H9" t="s">
        <v>34</v>
      </c>
      <c r="K9" s="2">
        <v>1</v>
      </c>
      <c r="L9" s="2">
        <v>3</v>
      </c>
      <c r="M9" t="s">
        <v>124</v>
      </c>
    </row>
    <row r="10" spans="2:13" x14ac:dyDescent="0.25">
      <c r="B10">
        <v>4</v>
      </c>
      <c r="G10" cm="1">
        <f t="array" ref="G10">KosztBroni(B10,I10:M10,E10:E13)</f>
        <v>16.2</v>
      </c>
      <c r="H10" t="s">
        <v>39</v>
      </c>
      <c r="K10" s="2">
        <v>3</v>
      </c>
      <c r="L10" s="2">
        <v>1</v>
      </c>
    </row>
    <row r="11" spans="2:13" x14ac:dyDescent="0.25">
      <c r="B11">
        <v>4</v>
      </c>
      <c r="G11" cm="1">
        <f t="array" ref="G11">KosztBroni(B11,I11:M11,E11:E14)</f>
        <v>15.119999999999997</v>
      </c>
      <c r="H11" t="s">
        <v>40</v>
      </c>
      <c r="K11" s="2">
        <v>1</v>
      </c>
      <c r="L11" s="2">
        <v>1</v>
      </c>
      <c r="M11" t="s">
        <v>41</v>
      </c>
    </row>
    <row r="12" spans="2:13" x14ac:dyDescent="0.25">
      <c r="B12">
        <v>4</v>
      </c>
      <c r="G12" cm="1">
        <f t="array" ref="G12">KosztBroni(B12,I12:M12,E12:E15)</f>
        <v>4.8599999999999994</v>
      </c>
      <c r="H12" t="s">
        <v>43</v>
      </c>
      <c r="K12" s="2">
        <v>1</v>
      </c>
      <c r="L12" s="2">
        <v>0</v>
      </c>
      <c r="M12" t="s">
        <v>111</v>
      </c>
    </row>
    <row r="13" spans="2:13" x14ac:dyDescent="0.25">
      <c r="B13">
        <v>4</v>
      </c>
      <c r="G13" cm="1">
        <f t="array" ref="G13">KosztBroni(B13,I13:M13,E13:E16)</f>
        <v>7.5</v>
      </c>
      <c r="H13" t="s">
        <v>12</v>
      </c>
      <c r="I13" s="2">
        <v>12</v>
      </c>
      <c r="K13" s="2">
        <v>1</v>
      </c>
      <c r="L13" s="2">
        <v>0</v>
      </c>
      <c r="M13" t="s">
        <v>32</v>
      </c>
    </row>
    <row r="14" spans="2:13" x14ac:dyDescent="0.25">
      <c r="B14">
        <v>4</v>
      </c>
      <c r="G14" cm="1">
        <f t="array" ref="G14">KosztBroni(B14,I14:M14,E14:E17)</f>
        <v>7.5</v>
      </c>
      <c r="H14" t="s">
        <v>11</v>
      </c>
      <c r="I14" s="2">
        <v>24</v>
      </c>
      <c r="K14" s="2">
        <v>1</v>
      </c>
      <c r="L14" s="2">
        <v>0</v>
      </c>
    </row>
    <row r="15" spans="2:13" x14ac:dyDescent="0.25">
      <c r="B15">
        <v>4</v>
      </c>
      <c r="G15" cm="1">
        <f t="array" ref="G15">KosztBroni(B15,I15:M15,E15:E18)</f>
        <v>11.25</v>
      </c>
      <c r="H15" t="s">
        <v>33</v>
      </c>
      <c r="I15" s="2">
        <v>24</v>
      </c>
      <c r="K15" s="2">
        <v>1</v>
      </c>
      <c r="L15" s="2">
        <v>1</v>
      </c>
    </row>
    <row r="16" spans="2:13" x14ac:dyDescent="0.25">
      <c r="B16">
        <v>4</v>
      </c>
      <c r="G16" cm="1">
        <f t="array" ref="G16">KosztBroni(B16,I16:M16,E16:E19)</f>
        <v>27</v>
      </c>
      <c r="H16" t="s">
        <v>44</v>
      </c>
      <c r="I16" s="2">
        <v>18</v>
      </c>
      <c r="K16" s="2">
        <v>3</v>
      </c>
      <c r="L16" s="2">
        <v>1</v>
      </c>
    </row>
    <row r="17" spans="2:13" x14ac:dyDescent="0.25">
      <c r="B17">
        <v>4</v>
      </c>
      <c r="G17" cm="1">
        <f t="array" ref="G17">KosztBroni(B17,I17:M17,E17:E20)</f>
        <v>42.977999999999994</v>
      </c>
      <c r="H17" t="s">
        <v>45</v>
      </c>
      <c r="I17" s="2">
        <v>30</v>
      </c>
      <c r="K17" s="2">
        <v>1</v>
      </c>
      <c r="L17" s="2">
        <v>2</v>
      </c>
      <c r="M17" t="s">
        <v>123</v>
      </c>
    </row>
    <row r="18" spans="2:13" x14ac:dyDescent="0.25">
      <c r="B18">
        <v>4</v>
      </c>
      <c r="G18" cm="1">
        <f t="array" ref="G18">KosztBroni(B18,I18:M18,E18:E21)</f>
        <v>33.75</v>
      </c>
      <c r="H18" t="s">
        <v>46</v>
      </c>
      <c r="I18" s="2">
        <v>24</v>
      </c>
      <c r="K18" s="2">
        <v>3</v>
      </c>
      <c r="L18" s="2">
        <v>1</v>
      </c>
    </row>
    <row r="19" spans="2:13" x14ac:dyDescent="0.25">
      <c r="B19">
        <v>4</v>
      </c>
      <c r="G19" cm="1">
        <f t="array" ref="G19">KosztBroni(B19,I19:M19,E19:E22)</f>
        <v>22.815000000000001</v>
      </c>
      <c r="H19" t="s">
        <v>15</v>
      </c>
      <c r="I19" s="2">
        <v>12</v>
      </c>
      <c r="K19" s="2">
        <v>1</v>
      </c>
      <c r="L19" s="2">
        <v>3</v>
      </c>
      <c r="M19" t="s">
        <v>123</v>
      </c>
    </row>
    <row r="20" spans="2:13" x14ac:dyDescent="0.25">
      <c r="B20">
        <v>4</v>
      </c>
      <c r="G20" cm="1">
        <f t="array" ref="G20">KosztBroni(B20,I20:M20,E20:E23)</f>
        <v>30</v>
      </c>
      <c r="H20" t="s">
        <v>47</v>
      </c>
      <c r="I20" s="2">
        <v>12</v>
      </c>
      <c r="K20" s="2">
        <v>2</v>
      </c>
      <c r="L20" s="2">
        <v>1</v>
      </c>
      <c r="M20" t="s">
        <v>49</v>
      </c>
    </row>
    <row r="21" spans="2:13" x14ac:dyDescent="0.25">
      <c r="B21">
        <v>4</v>
      </c>
      <c r="G21" cm="1">
        <f t="array" ref="G21">KosztBroni(B21,I21:M21,E21:E24)</f>
        <v>24</v>
      </c>
      <c r="H21" t="s">
        <v>16</v>
      </c>
      <c r="I21" s="2">
        <v>18</v>
      </c>
      <c r="K21" s="2">
        <v>2</v>
      </c>
      <c r="L21" s="2">
        <v>1</v>
      </c>
      <c r="M21" t="s">
        <v>35</v>
      </c>
    </row>
    <row r="22" spans="2:13" x14ac:dyDescent="0.25">
      <c r="B22">
        <v>4</v>
      </c>
      <c r="G22" cm="1">
        <f t="array" ref="G22">KosztBroni(B22,I22:M22,E22:E25)</f>
        <v>30</v>
      </c>
      <c r="H22" t="s">
        <v>48</v>
      </c>
      <c r="I22" s="2">
        <v>24</v>
      </c>
      <c r="K22" s="2">
        <v>2</v>
      </c>
      <c r="L22" s="2">
        <v>1</v>
      </c>
      <c r="M22" t="s">
        <v>35</v>
      </c>
    </row>
    <row r="23" spans="2:13" x14ac:dyDescent="0.25">
      <c r="B23">
        <v>4</v>
      </c>
      <c r="G23" cm="1">
        <f t="array" ref="G23">KosztBroni(B23,I23:M23,E23:E26)</f>
        <v>69.599999999999994</v>
      </c>
      <c r="H23" t="s">
        <v>50</v>
      </c>
      <c r="I23" s="2">
        <v>30</v>
      </c>
      <c r="K23" s="2">
        <v>4</v>
      </c>
      <c r="L23" s="2">
        <v>1</v>
      </c>
      <c r="M23" t="s">
        <v>35</v>
      </c>
    </row>
    <row r="24" spans="2:13" x14ac:dyDescent="0.25">
      <c r="B24">
        <v>4</v>
      </c>
      <c r="G24" cm="1">
        <f t="array" ref="G24">KosztBroni(B24,I24:M24,E24:E27)</f>
        <v>57.599999999999994</v>
      </c>
      <c r="H24" t="s">
        <v>51</v>
      </c>
      <c r="I24" s="2">
        <v>18</v>
      </c>
      <c r="K24" s="2">
        <v>3</v>
      </c>
      <c r="L24" s="2">
        <v>1</v>
      </c>
      <c r="M24" t="s">
        <v>49</v>
      </c>
    </row>
    <row r="25" spans="2:13" x14ac:dyDescent="0.25">
      <c r="B25">
        <v>4</v>
      </c>
      <c r="G25" cm="1">
        <f t="array" ref="G25">KosztBroni(B25,I25:M25,E25:E28)</f>
        <v>20.384999999999998</v>
      </c>
      <c r="H25" t="s">
        <v>52</v>
      </c>
      <c r="I25" s="2">
        <v>12</v>
      </c>
      <c r="K25" s="2">
        <v>1</v>
      </c>
      <c r="L25" s="2">
        <v>3</v>
      </c>
      <c r="M25" t="s">
        <v>119</v>
      </c>
    </row>
    <row r="26" spans="2:13" x14ac:dyDescent="0.25">
      <c r="B26">
        <v>4</v>
      </c>
      <c r="G26" cm="1">
        <f t="array" ref="G26">KosztBroni(B26,I26:M26,E26:E29)</f>
        <v>18.899999999999999</v>
      </c>
      <c r="H26" t="s">
        <v>53</v>
      </c>
      <c r="I26" s="2">
        <v>18</v>
      </c>
      <c r="K26" s="2">
        <v>1</v>
      </c>
      <c r="L26" s="2">
        <v>3</v>
      </c>
      <c r="M26" t="s">
        <v>117</v>
      </c>
    </row>
    <row r="27" spans="2:13" x14ac:dyDescent="0.25">
      <c r="B27">
        <v>4</v>
      </c>
      <c r="G27" cm="1">
        <f t="array" ref="G27">KosztBroni(B27,I27:M27,E27:E30)</f>
        <v>23.625</v>
      </c>
      <c r="H27" t="s">
        <v>23</v>
      </c>
      <c r="I27" s="2">
        <v>24</v>
      </c>
      <c r="K27" s="2">
        <v>1</v>
      </c>
      <c r="L27" s="2">
        <v>3</v>
      </c>
      <c r="M27" t="s">
        <v>117</v>
      </c>
    </row>
    <row r="28" spans="2:13" x14ac:dyDescent="0.25">
      <c r="B28">
        <v>4</v>
      </c>
      <c r="G28" cm="1">
        <f t="array" ref="G28">KosztBroni(B28,I28:M28,E28:E31)</f>
        <v>76.733999999999995</v>
      </c>
      <c r="H28" t="s">
        <v>54</v>
      </c>
      <c r="I28" s="2">
        <v>30</v>
      </c>
      <c r="K28" s="2">
        <v>1</v>
      </c>
      <c r="L28" s="2">
        <v>3</v>
      </c>
      <c r="M28" t="s">
        <v>118</v>
      </c>
    </row>
    <row r="29" spans="2:13" x14ac:dyDescent="0.25">
      <c r="B29">
        <v>4</v>
      </c>
      <c r="G29" cm="1">
        <f t="array" ref="G29">KosztBroni(B29,I29:M29,E29:E32)</f>
        <v>13.440000000000001</v>
      </c>
      <c r="H29" t="s">
        <v>55</v>
      </c>
      <c r="I29" s="2">
        <v>18</v>
      </c>
      <c r="K29" s="2">
        <v>1</v>
      </c>
      <c r="L29" s="2">
        <v>-1</v>
      </c>
      <c r="M29" t="s">
        <v>41</v>
      </c>
    </row>
    <row r="30" spans="2:13" x14ac:dyDescent="0.25">
      <c r="B30">
        <v>4</v>
      </c>
      <c r="G30" cm="1">
        <f t="array" ref="G30">KosztBroni(B30,I30:M30,E30:E33)</f>
        <v>16.799999999999997</v>
      </c>
      <c r="H30" t="s">
        <v>13</v>
      </c>
      <c r="I30" s="2">
        <v>24</v>
      </c>
      <c r="K30" s="2">
        <v>1</v>
      </c>
      <c r="L30" s="2">
        <v>-1</v>
      </c>
      <c r="M30" t="s">
        <v>41</v>
      </c>
    </row>
    <row r="31" spans="2:13" x14ac:dyDescent="0.25">
      <c r="B31">
        <v>4</v>
      </c>
      <c r="G31" cm="1">
        <f t="array" ref="G31">KosztBroni(B31,I31:M31,E31:E34)</f>
        <v>25.8216</v>
      </c>
      <c r="H31" t="s">
        <v>56</v>
      </c>
      <c r="I31" s="2">
        <v>30</v>
      </c>
      <c r="K31" s="2">
        <v>1</v>
      </c>
      <c r="L31" s="2">
        <v>0</v>
      </c>
      <c r="M31" t="s">
        <v>129</v>
      </c>
    </row>
    <row r="32" spans="2:13" x14ac:dyDescent="0.25">
      <c r="B32">
        <v>4</v>
      </c>
      <c r="G32" cm="1">
        <f t="array" ref="G32">KosztBroni(B32,I32:M32,E32:E35)</f>
        <v>16.632000000000001</v>
      </c>
      <c r="H32" t="s">
        <v>57</v>
      </c>
      <c r="K32" s="2">
        <v>1</v>
      </c>
      <c r="L32" s="2">
        <v>-1</v>
      </c>
      <c r="M32" t="s">
        <v>128</v>
      </c>
    </row>
    <row r="33" spans="2:13" x14ac:dyDescent="0.25">
      <c r="B33">
        <v>4</v>
      </c>
      <c r="G33" cm="1">
        <f t="array" ref="G33">KosztBroni(B33,I33:M33,E33:E36)</f>
        <v>18.018000000000001</v>
      </c>
      <c r="H33" t="s">
        <v>59</v>
      </c>
      <c r="I33" s="2">
        <v>12</v>
      </c>
      <c r="K33" s="2">
        <v>1</v>
      </c>
      <c r="L33" s="2">
        <v>-1</v>
      </c>
      <c r="M33" t="s">
        <v>128</v>
      </c>
    </row>
    <row r="34" spans="2:13" x14ac:dyDescent="0.25">
      <c r="B34">
        <v>4</v>
      </c>
      <c r="G34" cm="1">
        <f t="array" ref="G34">KosztBroni(B34,I34:M34,E34:E37)</f>
        <v>25.025000000000002</v>
      </c>
      <c r="H34" t="s">
        <v>14</v>
      </c>
      <c r="I34" s="2">
        <v>12</v>
      </c>
      <c r="K34" s="2">
        <v>1</v>
      </c>
      <c r="L34" s="2">
        <v>0</v>
      </c>
      <c r="M34" t="s">
        <v>128</v>
      </c>
    </row>
    <row r="35" spans="2:13" x14ac:dyDescent="0.25">
      <c r="B35">
        <v>4</v>
      </c>
      <c r="G35" cm="1">
        <f t="array" ref="G35">KosztBroni(B35,I35:M35,E35:E38)</f>
        <v>34.033999999999999</v>
      </c>
      <c r="H35" t="s">
        <v>58</v>
      </c>
      <c r="I35" s="2">
        <v>12</v>
      </c>
      <c r="K35" s="2">
        <v>1</v>
      </c>
      <c r="L35" s="2">
        <v>1</v>
      </c>
      <c r="M35" t="s">
        <v>128</v>
      </c>
    </row>
    <row r="36" spans="2:13" x14ac:dyDescent="0.25">
      <c r="B36">
        <v>4</v>
      </c>
      <c r="G36" cm="1">
        <f t="array" ref="G36">KosztBroni(B36,I36:M36,E36:E39)</f>
        <v>12</v>
      </c>
      <c r="H36" t="s">
        <v>60</v>
      </c>
      <c r="I36" s="2">
        <v>12</v>
      </c>
      <c r="K36" s="2">
        <v>2</v>
      </c>
      <c r="L36" s="2">
        <v>-1</v>
      </c>
      <c r="M36" t="s">
        <v>61</v>
      </c>
    </row>
    <row r="37" spans="2:13" x14ac:dyDescent="0.25">
      <c r="B37">
        <v>4</v>
      </c>
      <c r="G37" cm="1">
        <f t="array" ref="G37">KosztBroni(B37,I37:M37,E37:E40)</f>
        <v>21.75</v>
      </c>
      <c r="H37" t="s">
        <v>63</v>
      </c>
      <c r="I37" s="2">
        <v>30</v>
      </c>
      <c r="K37" s="2">
        <v>1</v>
      </c>
      <c r="L37" s="2">
        <v>1</v>
      </c>
      <c r="M37" t="s">
        <v>64</v>
      </c>
    </row>
    <row r="38" spans="2:13" x14ac:dyDescent="0.25">
      <c r="B38">
        <v>4</v>
      </c>
      <c r="G38" cm="1">
        <f t="array" ref="G38">KosztBroni(B38,I38:M38,E38:E41)</f>
        <v>3.42</v>
      </c>
      <c r="H38" t="s">
        <v>115</v>
      </c>
      <c r="K38" s="2">
        <v>1</v>
      </c>
      <c r="L38" s="2">
        <v>-1</v>
      </c>
      <c r="M38" t="s">
        <v>111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9972-5D94-4EA1-A036-801263E74F45}">
  <sheetPr codeName="Arkusz5"/>
  <dimension ref="A1:Q45"/>
  <sheetViews>
    <sheetView tabSelected="1" zoomScaleNormal="100" workbookViewId="0">
      <pane ySplit="2" topLeftCell="A3" activePane="bottomLeft" state="frozen"/>
      <selection pane="bottomLeft" activeCell="Q34" sqref="Q34"/>
    </sheetView>
  </sheetViews>
  <sheetFormatPr defaultRowHeight="15" x14ac:dyDescent="0.25"/>
  <cols>
    <col min="2" max="2" width="4.85546875" style="1" customWidth="1"/>
    <col min="3" max="3" width="4.85546875" customWidth="1"/>
    <col min="4" max="4" width="10" customWidth="1"/>
    <col min="5" max="5" width="3.5703125" customWidth="1"/>
    <col min="6" max="6" width="4.7109375" customWidth="1"/>
    <col min="7" max="7" width="3.85546875" customWidth="1"/>
    <col min="8" max="8" width="5.140625" customWidth="1"/>
    <col min="9" max="9" width="13" customWidth="1"/>
    <col min="10" max="10" width="6.85546875" customWidth="1"/>
    <col min="11" max="11" width="9.140625" customWidth="1"/>
    <col min="12" max="12" width="20.5703125" customWidth="1"/>
    <col min="13" max="13" width="3.42578125" customWidth="1"/>
    <col min="14" max="14" width="4.5703125" style="2" customWidth="1"/>
    <col min="15" max="15" width="3" customWidth="1"/>
    <col min="16" max="16" width="3.140625" customWidth="1"/>
    <col min="17" max="17" width="14.5703125" customWidth="1"/>
  </cols>
  <sheetData>
    <row r="1" spans="1:17" x14ac:dyDescent="0.25">
      <c r="D1" s="11" t="s">
        <v>3</v>
      </c>
      <c r="E1" s="11"/>
      <c r="F1" s="11"/>
      <c r="G1" s="11"/>
      <c r="H1" s="11"/>
      <c r="I1" s="11" t="s">
        <v>19</v>
      </c>
      <c r="K1" s="11" t="s">
        <v>21</v>
      </c>
      <c r="L1" s="11"/>
      <c r="M1" s="11"/>
      <c r="N1" s="11"/>
      <c r="O1" s="11"/>
      <c r="P1" s="11"/>
      <c r="Q1" s="11"/>
    </row>
    <row r="2" spans="1:17" x14ac:dyDescent="0.25">
      <c r="A2" t="s">
        <v>120</v>
      </c>
      <c r="B2" s="1" t="s">
        <v>121</v>
      </c>
      <c r="C2" t="s">
        <v>1</v>
      </c>
      <c r="D2" t="s">
        <v>0</v>
      </c>
      <c r="E2" t="s">
        <v>7</v>
      </c>
      <c r="F2" t="s">
        <v>4</v>
      </c>
      <c r="G2" t="s">
        <v>5</v>
      </c>
      <c r="H2" t="s">
        <v>6</v>
      </c>
      <c r="I2" s="12"/>
      <c r="J2" t="s">
        <v>1</v>
      </c>
      <c r="K2" t="s">
        <v>1</v>
      </c>
      <c r="L2" t="s">
        <v>0</v>
      </c>
      <c r="M2" t="s">
        <v>9</v>
      </c>
      <c r="N2" s="2" t="s">
        <v>7</v>
      </c>
      <c r="O2" t="s">
        <v>8</v>
      </c>
      <c r="P2" t="s">
        <v>2</v>
      </c>
      <c r="Q2" t="s">
        <v>20</v>
      </c>
    </row>
    <row r="3" spans="1:17" s="4" customFormat="1" x14ac:dyDescent="0.25">
      <c r="A3">
        <f>SUM(B3:B13)</f>
        <v>156.6</v>
      </c>
      <c r="B3" s="1">
        <f>C3*E3+J3+K3*N3</f>
        <v>54.6</v>
      </c>
      <c r="C3" s="4" cm="1">
        <f t="array" ref="C3">KosztBazowy(F3:H4,I3:I7)</f>
        <v>4.5</v>
      </c>
      <c r="D3" s="4" t="s">
        <v>10</v>
      </c>
      <c r="E3" s="4">
        <v>10</v>
      </c>
      <c r="F3" s="9">
        <v>5</v>
      </c>
      <c r="G3" s="9">
        <v>5</v>
      </c>
      <c r="H3" s="9">
        <v>1</v>
      </c>
      <c r="I3" s="4" t="s">
        <v>31</v>
      </c>
      <c r="K3" s="4" cm="1">
        <f t="array" ref="K3">KosztBroni(F$3,M3:Q3,I$3)</f>
        <v>0.96</v>
      </c>
      <c r="L3" s="4" t="s">
        <v>30</v>
      </c>
      <c r="M3" s="5"/>
      <c r="N3" s="5">
        <v>10</v>
      </c>
      <c r="O3" s="5">
        <v>1</v>
      </c>
      <c r="P3" s="5">
        <v>-1</v>
      </c>
    </row>
    <row r="4" spans="1:17" x14ac:dyDescent="0.25">
      <c r="B4" s="1">
        <f t="shared" ref="B4:B36" si="0">C4*E4+J4+K4*N4</f>
        <v>24</v>
      </c>
      <c r="F4" s="10"/>
      <c r="G4" s="10"/>
      <c r="H4" s="10"/>
      <c r="I4" t="s">
        <v>116</v>
      </c>
      <c r="J4" cm="1">
        <f t="array" ref="J4">KosztZdolnosci(I4)</f>
        <v>24</v>
      </c>
      <c r="K4" cm="1">
        <f t="array" ref="K4">KosztBroni(F$3,M4:Q4,I$3)</f>
        <v>2.4</v>
      </c>
      <c r="L4" t="s">
        <v>22</v>
      </c>
      <c r="M4" s="2"/>
      <c r="O4" s="2">
        <v>2</v>
      </c>
      <c r="P4" s="2">
        <v>0</v>
      </c>
    </row>
    <row r="5" spans="1:17" x14ac:dyDescent="0.25">
      <c r="B5" s="1">
        <f t="shared" si="0"/>
        <v>28</v>
      </c>
      <c r="I5" t="s">
        <v>112</v>
      </c>
      <c r="J5" cm="1">
        <f t="array" ref="J5">KosztZdolnosci(I5)</f>
        <v>28</v>
      </c>
      <c r="K5" cm="1">
        <f t="array" ref="K5">KosztBroni(F$3,M5:Q5,I$3)</f>
        <v>4.5599999999999996</v>
      </c>
      <c r="L5" t="s">
        <v>25</v>
      </c>
      <c r="M5" s="2"/>
      <c r="O5" s="2">
        <v>2</v>
      </c>
      <c r="P5" s="2">
        <v>2</v>
      </c>
    </row>
    <row r="6" spans="1:17" x14ac:dyDescent="0.25">
      <c r="B6" s="1">
        <f t="shared" si="0"/>
        <v>0</v>
      </c>
      <c r="K6" cm="1">
        <f t="array" ref="K6">KosztBroni(F$3,M6:Q6,I$3)</f>
        <v>5.9279999999999999</v>
      </c>
      <c r="L6" t="s">
        <v>26</v>
      </c>
      <c r="M6" s="2"/>
      <c r="O6" s="2">
        <v>1</v>
      </c>
      <c r="P6" s="2">
        <v>2</v>
      </c>
      <c r="Q6" t="s">
        <v>123</v>
      </c>
    </row>
    <row r="7" spans="1:17" x14ac:dyDescent="0.25">
      <c r="B7" s="1">
        <f t="shared" si="0"/>
        <v>50</v>
      </c>
      <c r="K7" cm="1">
        <f t="array" ref="K7">KosztBroni(F$3,M7:Q7,I$3)</f>
        <v>5</v>
      </c>
      <c r="L7" t="s">
        <v>11</v>
      </c>
      <c r="M7" s="2">
        <v>24</v>
      </c>
      <c r="N7" s="2">
        <v>10</v>
      </c>
      <c r="O7" s="2">
        <v>1</v>
      </c>
      <c r="P7" s="2">
        <v>0</v>
      </c>
    </row>
    <row r="8" spans="1:17" x14ac:dyDescent="0.25">
      <c r="B8" s="1">
        <f t="shared" si="0"/>
        <v>0</v>
      </c>
      <c r="K8" cm="1">
        <f t="array" ref="K8">KosztBroni(F$3,M8:Q8,I$3)</f>
        <v>3.8</v>
      </c>
      <c r="L8" t="s">
        <v>12</v>
      </c>
      <c r="M8" s="2">
        <v>12</v>
      </c>
      <c r="O8" s="2">
        <v>1</v>
      </c>
      <c r="P8" s="2">
        <v>0</v>
      </c>
      <c r="Q8" t="s">
        <v>32</v>
      </c>
    </row>
    <row r="9" spans="1:17" x14ac:dyDescent="0.25">
      <c r="B9" s="1">
        <f t="shared" si="0"/>
        <v>0</v>
      </c>
      <c r="K9" cm="1">
        <f t="array" ref="K9">KosztBroni(F$3,M9:Q9,I$3)</f>
        <v>22.75</v>
      </c>
      <c r="L9" t="s">
        <v>14</v>
      </c>
      <c r="M9" s="2">
        <v>12</v>
      </c>
      <c r="O9" s="2">
        <v>1</v>
      </c>
      <c r="P9" s="2">
        <v>0</v>
      </c>
      <c r="Q9" t="s">
        <v>127</v>
      </c>
    </row>
    <row r="10" spans="1:17" x14ac:dyDescent="0.25">
      <c r="B10" s="1">
        <f t="shared" si="0"/>
        <v>0</v>
      </c>
      <c r="K10" cm="1">
        <f t="array" ref="K10">KosztBroni(F$3,M10:Q10,I$3)</f>
        <v>15.210000000000003</v>
      </c>
      <c r="L10" t="s">
        <v>15</v>
      </c>
      <c r="M10" s="2">
        <v>12</v>
      </c>
      <c r="O10" s="2">
        <v>1</v>
      </c>
      <c r="P10" s="2">
        <v>3</v>
      </c>
      <c r="Q10" t="s">
        <v>123</v>
      </c>
    </row>
    <row r="11" spans="1:17" x14ac:dyDescent="0.25">
      <c r="B11" s="1">
        <f t="shared" si="0"/>
        <v>0</v>
      </c>
      <c r="K11" cm="1">
        <f t="array" ref="K11">KosztBroni(F$3,M11:Q11,I$3)</f>
        <v>18</v>
      </c>
      <c r="L11" t="s">
        <v>16</v>
      </c>
      <c r="M11" s="2">
        <v>18</v>
      </c>
      <c r="O11" s="2">
        <v>2</v>
      </c>
      <c r="P11" s="2">
        <v>1</v>
      </c>
      <c r="Q11" t="s">
        <v>35</v>
      </c>
    </row>
    <row r="12" spans="1:17" x14ac:dyDescent="0.25">
      <c r="B12" s="1">
        <f t="shared" si="0"/>
        <v>0</v>
      </c>
      <c r="K12" cm="1">
        <f t="array" ref="K12">KosztBroni(F$3,M12:Q12,I$3)</f>
        <v>4</v>
      </c>
      <c r="L12" t="s">
        <v>13</v>
      </c>
      <c r="M12" s="2">
        <v>24</v>
      </c>
      <c r="O12" s="2">
        <v>1</v>
      </c>
      <c r="P12" s="2">
        <v>-1</v>
      </c>
      <c r="Q12" t="s">
        <v>122</v>
      </c>
    </row>
    <row r="13" spans="1:17" x14ac:dyDescent="0.25">
      <c r="B13" s="1">
        <f t="shared" si="0"/>
        <v>0</v>
      </c>
      <c r="K13" cm="1">
        <f t="array" ref="K13">KosztBroni(F$3,M13:Q13,I$3)</f>
        <v>11.25</v>
      </c>
      <c r="L13" t="s">
        <v>23</v>
      </c>
      <c r="M13" s="2">
        <v>24</v>
      </c>
      <c r="O13" s="2">
        <v>1</v>
      </c>
      <c r="P13" s="2">
        <v>3</v>
      </c>
    </row>
    <row r="14" spans="1:17" s="4" customFormat="1" x14ac:dyDescent="0.25">
      <c r="A14">
        <f>SUM(B14:B18)</f>
        <v>89.3</v>
      </c>
      <c r="B14" s="1">
        <f t="shared" si="0"/>
        <v>32.200000000000003</v>
      </c>
      <c r="C14" s="4" cm="1">
        <f t="array" ref="C14">KosztBazowy(F14:H15,I14:I17)</f>
        <v>5</v>
      </c>
      <c r="D14" s="4" t="s">
        <v>27</v>
      </c>
      <c r="E14" s="4">
        <v>5</v>
      </c>
      <c r="F14" s="9">
        <v>4</v>
      </c>
      <c r="G14" s="9">
        <v>5</v>
      </c>
      <c r="H14" s="9">
        <v>1</v>
      </c>
      <c r="I14" s="4" t="s">
        <v>31</v>
      </c>
      <c r="K14" s="4" cm="1">
        <f t="array" ref="K14">KosztBroni(F$14,M14:Q14,I$14)</f>
        <v>1.44</v>
      </c>
      <c r="L14" s="4" t="s">
        <v>30</v>
      </c>
      <c r="M14" s="5"/>
      <c r="N14" s="5">
        <v>5</v>
      </c>
      <c r="O14" s="5">
        <v>1</v>
      </c>
      <c r="P14" s="5">
        <v>-1</v>
      </c>
    </row>
    <row r="15" spans="1:17" x14ac:dyDescent="0.25">
      <c r="B15" s="1">
        <f t="shared" si="0"/>
        <v>45.9</v>
      </c>
      <c r="F15" s="10"/>
      <c r="G15" s="10"/>
      <c r="H15" s="10"/>
      <c r="I15" t="s">
        <v>17</v>
      </c>
      <c r="J15">
        <f>0.6*14</f>
        <v>8.4</v>
      </c>
      <c r="K15" cm="1">
        <f t="array" ref="K15">KosztBroni(F$14,M15:Q15,I$14)</f>
        <v>7.5</v>
      </c>
      <c r="L15" t="s">
        <v>11</v>
      </c>
      <c r="M15" s="2">
        <v>24</v>
      </c>
      <c r="N15" s="2">
        <v>5</v>
      </c>
      <c r="O15" s="2">
        <v>1</v>
      </c>
      <c r="P15" s="2"/>
    </row>
    <row r="16" spans="1:17" x14ac:dyDescent="0.25">
      <c r="B16" s="1">
        <f t="shared" si="0"/>
        <v>11.200000000000001</v>
      </c>
      <c r="I16" t="s">
        <v>18</v>
      </c>
      <c r="J16">
        <f>1.6*7</f>
        <v>11.200000000000001</v>
      </c>
      <c r="K16" cm="1">
        <f t="array" ref="K16">KosztBroni(F$14,M16:Q16,I$14)</f>
        <v>0</v>
      </c>
      <c r="M16" s="2"/>
      <c r="O16" s="2"/>
      <c r="P16" s="2"/>
    </row>
    <row r="17" spans="1:17" x14ac:dyDescent="0.25">
      <c r="B17" s="1">
        <f t="shared" si="0"/>
        <v>0</v>
      </c>
      <c r="K17" cm="1">
        <f t="array" ref="K17">KosztBroni(F$14,M17:Q17,I$14)</f>
        <v>0</v>
      </c>
      <c r="M17" s="2"/>
      <c r="O17" s="2"/>
      <c r="P17" s="2"/>
    </row>
    <row r="18" spans="1:17" x14ac:dyDescent="0.25">
      <c r="B18" s="1">
        <f t="shared" si="0"/>
        <v>0</v>
      </c>
      <c r="K18" cm="1">
        <f t="array" ref="K18">KosztBroni(F$14,M18:Q18,I$14)</f>
        <v>0</v>
      </c>
      <c r="M18" s="2"/>
      <c r="O18" s="2"/>
      <c r="P18" s="2"/>
    </row>
    <row r="19" spans="1:17" x14ac:dyDescent="0.25">
      <c r="A19">
        <f>SUM(B19:B23)</f>
        <v>30.25</v>
      </c>
      <c r="B19" s="1">
        <f t="shared" si="0"/>
        <v>24.7</v>
      </c>
      <c r="C19" s="4" cm="1">
        <f t="array" ref="C19">KosztBazowy(F19:H20,I19:I22)</f>
        <v>17.5</v>
      </c>
      <c r="D19" s="4" t="s">
        <v>29</v>
      </c>
      <c r="E19" s="4">
        <v>1</v>
      </c>
      <c r="F19" s="9">
        <v>4</v>
      </c>
      <c r="G19" s="9">
        <v>5</v>
      </c>
      <c r="H19" s="9">
        <v>3</v>
      </c>
      <c r="I19" s="4" t="s">
        <v>68</v>
      </c>
      <c r="J19" s="4"/>
      <c r="K19" s="4" cm="1">
        <f t="array" ref="K19">KosztBroni(F$19,M19:Q19,I$19:I$22)</f>
        <v>7.1999999999999993</v>
      </c>
      <c r="L19" s="4" t="s">
        <v>22</v>
      </c>
      <c r="M19" s="5"/>
      <c r="N19" s="5">
        <v>1</v>
      </c>
      <c r="O19" s="5">
        <v>2</v>
      </c>
      <c r="P19" s="5">
        <v>0</v>
      </c>
    </row>
    <row r="20" spans="1:17" x14ac:dyDescent="0.25">
      <c r="B20" s="1">
        <f t="shared" si="0"/>
        <v>0</v>
      </c>
      <c r="F20" s="10"/>
      <c r="G20" s="10"/>
      <c r="H20" s="10"/>
      <c r="K20" cm="1">
        <f t="array" ref="K20">KosztBroni(F$19,M20:Q20,I$19:I$22)</f>
        <v>10.799999999999999</v>
      </c>
      <c r="L20" t="s">
        <v>25</v>
      </c>
      <c r="M20" s="2"/>
      <c r="O20" s="2">
        <v>2</v>
      </c>
      <c r="P20" s="2">
        <v>1</v>
      </c>
    </row>
    <row r="21" spans="1:17" x14ac:dyDescent="0.25">
      <c r="B21" s="1">
        <f t="shared" si="0"/>
        <v>5.55</v>
      </c>
      <c r="K21" cm="1">
        <f t="array" ref="K21">KosztBroni(F$19,M21:Q21,I$19:I$22)</f>
        <v>5.55</v>
      </c>
      <c r="L21" t="s">
        <v>12</v>
      </c>
      <c r="M21" s="2">
        <v>12</v>
      </c>
      <c r="N21" s="2">
        <v>1</v>
      </c>
      <c r="O21" s="2">
        <v>1</v>
      </c>
      <c r="P21" s="2">
        <v>0</v>
      </c>
      <c r="Q21" t="s">
        <v>32</v>
      </c>
    </row>
    <row r="22" spans="1:17" x14ac:dyDescent="0.25">
      <c r="B22" s="1">
        <f t="shared" si="0"/>
        <v>0</v>
      </c>
      <c r="K22" cm="1">
        <f t="array" ref="K22">KosztBroni(F$19,M22:Q22,I$19:I$22)</f>
        <v>0</v>
      </c>
      <c r="M22" s="2"/>
      <c r="O22" s="2"/>
      <c r="P22" s="2"/>
    </row>
    <row r="23" spans="1:17" x14ac:dyDescent="0.25">
      <c r="B23" s="1">
        <f t="shared" si="0"/>
        <v>0</v>
      </c>
      <c r="K23" cm="1">
        <f t="array" ref="K23">KosztBroni(F$19,M23:Q23,I$19:I$22)</f>
        <v>0</v>
      </c>
      <c r="M23" s="2"/>
      <c r="O23" s="2"/>
      <c r="P23" s="2"/>
    </row>
    <row r="24" spans="1:17" x14ac:dyDescent="0.25">
      <c r="A24">
        <f>SUM(B24:B27)</f>
        <v>91.289999999999992</v>
      </c>
      <c r="B24" s="1">
        <f t="shared" si="0"/>
        <v>26.04</v>
      </c>
      <c r="C24" s="4" cm="1">
        <f t="array" ref="C24">KosztBazowy(F24:H25,I24:I26)</f>
        <v>8.1999999999999993</v>
      </c>
      <c r="D24" s="4" t="s">
        <v>28</v>
      </c>
      <c r="E24" s="4">
        <v>3</v>
      </c>
      <c r="F24" s="9">
        <v>6</v>
      </c>
      <c r="G24" s="9">
        <v>6</v>
      </c>
      <c r="H24" s="9">
        <v>1</v>
      </c>
      <c r="I24" s="4" t="s">
        <v>31</v>
      </c>
      <c r="J24" s="4"/>
      <c r="K24" s="4" cm="1">
        <f t="array" ref="K24">KosztBroni(F$24,M24:Q24,I$24:I$27)</f>
        <v>0.48</v>
      </c>
      <c r="L24" s="4" t="s">
        <v>30</v>
      </c>
      <c r="M24" s="5"/>
      <c r="N24" s="5">
        <v>3</v>
      </c>
      <c r="O24" s="5">
        <v>1</v>
      </c>
      <c r="P24" s="5">
        <v>-1</v>
      </c>
      <c r="Q24" s="4"/>
    </row>
    <row r="25" spans="1:17" x14ac:dyDescent="0.25">
      <c r="B25" s="1">
        <f t="shared" si="0"/>
        <v>65.25</v>
      </c>
      <c r="F25" s="10"/>
      <c r="G25" s="10"/>
      <c r="H25" s="10"/>
      <c r="I25" t="s">
        <v>65</v>
      </c>
      <c r="K25" cm="1">
        <f t="array" ref="K25">KosztBroni(F$24,M25:Q25,I$24:I$27)</f>
        <v>21.75</v>
      </c>
      <c r="L25" t="s">
        <v>63</v>
      </c>
      <c r="M25" s="2">
        <v>30</v>
      </c>
      <c r="N25" s="2">
        <v>3</v>
      </c>
      <c r="O25" s="2">
        <v>1</v>
      </c>
      <c r="P25" s="2">
        <v>1</v>
      </c>
      <c r="Q25" t="s">
        <v>64</v>
      </c>
    </row>
    <row r="26" spans="1:17" x14ac:dyDescent="0.25">
      <c r="B26" s="1">
        <f t="shared" si="0"/>
        <v>0</v>
      </c>
      <c r="I26" t="s">
        <v>66</v>
      </c>
      <c r="K26" cm="1">
        <f t="array" ref="K26">KosztBroni(F$24,M26:Q26,I$24:I$27)</f>
        <v>0</v>
      </c>
      <c r="M26" s="2"/>
      <c r="O26" s="2"/>
      <c r="P26" s="2"/>
    </row>
    <row r="27" spans="1:17" x14ac:dyDescent="0.25">
      <c r="B27" s="1">
        <f t="shared" si="0"/>
        <v>0</v>
      </c>
      <c r="K27" cm="1">
        <f t="array" ref="K27">KosztBroni(F$24,M27:Q27,I$24:I$27)</f>
        <v>0</v>
      </c>
      <c r="M27" s="2"/>
      <c r="O27" s="2"/>
      <c r="P27" s="2"/>
    </row>
    <row r="28" spans="1:17" x14ac:dyDescent="0.25">
      <c r="A28">
        <f>SUM(B28:B32)</f>
        <v>178.97550000000001</v>
      </c>
      <c r="B28" s="1">
        <f t="shared" si="0"/>
        <v>169.43550000000002</v>
      </c>
      <c r="C28" s="4" cm="1">
        <f t="array" ref="C28">KosztBazowy(F28:H29,I28:I36)</f>
        <v>38.352500000000006</v>
      </c>
      <c r="D28" s="4" t="s">
        <v>67</v>
      </c>
      <c r="E28" s="4">
        <v>3</v>
      </c>
      <c r="F28" s="9">
        <v>5</v>
      </c>
      <c r="G28" s="9">
        <v>4</v>
      </c>
      <c r="H28" s="9">
        <v>3</v>
      </c>
      <c r="I28" s="4" t="s">
        <v>68</v>
      </c>
      <c r="J28" s="4"/>
      <c r="K28" s="4" cm="1">
        <f t="array" ref="K28">KosztBroni(F$28,M28:Q28,I$28:I$31)</f>
        <v>18.126000000000001</v>
      </c>
      <c r="L28" s="4" t="s">
        <v>71</v>
      </c>
      <c r="M28" s="5"/>
      <c r="N28" s="5">
        <v>3</v>
      </c>
      <c r="O28" s="5">
        <v>3</v>
      </c>
      <c r="P28" s="5">
        <v>2</v>
      </c>
      <c r="Q28" s="4"/>
    </row>
    <row r="29" spans="1:17" x14ac:dyDescent="0.25">
      <c r="B29" s="1">
        <f t="shared" si="0"/>
        <v>9.5400000000000009</v>
      </c>
      <c r="F29" s="10"/>
      <c r="G29" s="10"/>
      <c r="H29" s="10"/>
      <c r="I29" t="s">
        <v>69</v>
      </c>
      <c r="K29" s="3" cm="1">
        <f t="array" ref="K29">KosztBroni(F$28,M29:Q29,I$28:I$31)</f>
        <v>3.18</v>
      </c>
      <c r="L29" t="s">
        <v>70</v>
      </c>
      <c r="M29" s="2"/>
      <c r="N29" s="2">
        <v>3</v>
      </c>
      <c r="O29" s="2">
        <v>1</v>
      </c>
      <c r="P29" s="2">
        <v>0</v>
      </c>
    </row>
    <row r="30" spans="1:17" x14ac:dyDescent="0.25">
      <c r="B30" s="1">
        <f t="shared" si="0"/>
        <v>0</v>
      </c>
      <c r="I30" t="s">
        <v>70</v>
      </c>
      <c r="K30" cm="1">
        <f t="array" ref="K30">KosztBroni(F$28,M30:Q30,I$28:I$31)</f>
        <v>0</v>
      </c>
      <c r="M30" s="2"/>
      <c r="O30" s="2"/>
      <c r="P30" s="2"/>
    </row>
    <row r="31" spans="1:17" x14ac:dyDescent="0.25">
      <c r="B31" s="1">
        <f t="shared" si="0"/>
        <v>0</v>
      </c>
      <c r="I31" t="s">
        <v>72</v>
      </c>
      <c r="K31" cm="1">
        <f t="array" ref="K31">KosztBroni(F$28,M31:Q31,I$28:I$31)</f>
        <v>0</v>
      </c>
      <c r="M31" s="2"/>
      <c r="O31" s="2"/>
      <c r="P31" s="2"/>
    </row>
    <row r="32" spans="1:17" x14ac:dyDescent="0.25">
      <c r="B32" s="1">
        <f t="shared" si="0"/>
        <v>0</v>
      </c>
      <c r="K32" cm="1">
        <f t="array" ref="K32">KosztBroni(F$28,M32:Q32,I$28:I$31)</f>
        <v>0</v>
      </c>
      <c r="M32" s="2"/>
      <c r="O32" s="2"/>
      <c r="P32" s="2"/>
    </row>
    <row r="33" spans="1:17" x14ac:dyDescent="0.25">
      <c r="A33">
        <f>SUM(B33:B37)</f>
        <v>212.57999999999998</v>
      </c>
      <c r="B33" s="1">
        <f t="shared" si="0"/>
        <v>101</v>
      </c>
      <c r="C33" s="4" cm="1">
        <f t="array" ref="C33">KosztBazowy(F33:H34,I33:I41)</f>
        <v>101</v>
      </c>
      <c r="D33" s="4" t="s">
        <v>73</v>
      </c>
      <c r="E33" s="4">
        <v>1</v>
      </c>
      <c r="F33" s="9">
        <v>4</v>
      </c>
      <c r="G33" s="9">
        <v>2</v>
      </c>
      <c r="H33" s="9">
        <v>6</v>
      </c>
      <c r="I33" s="4" t="s">
        <v>74</v>
      </c>
      <c r="J33" s="4"/>
      <c r="K33" cm="1">
        <f t="array" ref="K33">KosztBroni(F$33,M33:Q33,I$33:I$36)</f>
        <v>33.75</v>
      </c>
      <c r="L33" t="s">
        <v>46</v>
      </c>
      <c r="M33" s="2">
        <v>24</v>
      </c>
      <c r="N33"/>
      <c r="O33" s="2">
        <v>3</v>
      </c>
      <c r="P33" s="2">
        <v>1</v>
      </c>
    </row>
    <row r="34" spans="1:17" x14ac:dyDescent="0.25">
      <c r="B34" s="1">
        <f t="shared" si="0"/>
        <v>111.57999999999998</v>
      </c>
      <c r="F34" s="10"/>
      <c r="G34" s="10"/>
      <c r="H34" s="10"/>
      <c r="I34" t="s">
        <v>75</v>
      </c>
      <c r="J34" cm="1">
        <f t="array" ref="J34">KosztZdolnosci(I34,I33:I36)</f>
        <v>38.5</v>
      </c>
      <c r="K34" s="3" cm="1">
        <f t="array" ref="K34">KosztBroni(F$33,M34:Q34,I$33:I$36)</f>
        <v>36.539999999999992</v>
      </c>
      <c r="L34" t="s">
        <v>77</v>
      </c>
      <c r="M34" s="2">
        <v>30</v>
      </c>
      <c r="N34" s="2">
        <v>2</v>
      </c>
      <c r="O34" s="2">
        <v>1</v>
      </c>
      <c r="P34" s="2">
        <v>1</v>
      </c>
      <c r="Q34" t="s">
        <v>41</v>
      </c>
    </row>
    <row r="35" spans="1:17" x14ac:dyDescent="0.25">
      <c r="B35" s="1">
        <f t="shared" si="0"/>
        <v>0</v>
      </c>
      <c r="I35" t="s">
        <v>76</v>
      </c>
      <c r="K35" cm="1">
        <f t="array" ref="K35">KosztBroni(F$33,M35:Q35,I$33:I$36)</f>
        <v>0</v>
      </c>
      <c r="M35" s="2"/>
      <c r="O35" s="2"/>
      <c r="P35" s="2"/>
    </row>
    <row r="36" spans="1:17" x14ac:dyDescent="0.25">
      <c r="B36" s="1">
        <f t="shared" si="0"/>
        <v>0</v>
      </c>
      <c r="K36" cm="1">
        <f t="array" ref="K36">KosztBroni(F$33,M36:Q36,I$33:I$36)</f>
        <v>0</v>
      </c>
      <c r="M36" s="2"/>
      <c r="O36" s="2"/>
      <c r="P36" s="2"/>
    </row>
    <row r="37" spans="1:17" x14ac:dyDescent="0.25">
      <c r="K37" cm="1">
        <f t="array" ref="K37">KosztBroni(F$33,M37:Q37,I$33:I$36)</f>
        <v>0</v>
      </c>
    </row>
    <row r="38" spans="1:17" x14ac:dyDescent="0.25">
      <c r="A38">
        <f>SUM(B38:B42)</f>
        <v>164.63</v>
      </c>
      <c r="B38" s="1">
        <f t="shared" ref="B38:B40" si="1">C38*E38+J38+K38*N38</f>
        <v>119.94</v>
      </c>
      <c r="C38" s="4" cm="1">
        <f t="array" ref="C38">KosztBazowy(F38:H39,I38:I46)</f>
        <v>89</v>
      </c>
      <c r="D38" s="4" t="s">
        <v>78</v>
      </c>
      <c r="E38" s="4">
        <v>1</v>
      </c>
      <c r="F38" s="9">
        <v>4</v>
      </c>
      <c r="G38" s="9">
        <v>2</v>
      </c>
      <c r="H38" s="9">
        <v>6</v>
      </c>
      <c r="I38" s="4" t="s">
        <v>74</v>
      </c>
      <c r="J38" s="4"/>
      <c r="K38" cm="1">
        <f t="array" ref="K38">KosztBroni(F$38,M38:Q38,I$38:I$41)</f>
        <v>30.939999999999994</v>
      </c>
      <c r="L38" t="s">
        <v>58</v>
      </c>
      <c r="M38" s="2">
        <v>12</v>
      </c>
      <c r="N38">
        <v>1</v>
      </c>
      <c r="O38" s="2">
        <v>1</v>
      </c>
      <c r="P38" s="2">
        <v>1</v>
      </c>
      <c r="Q38" t="s">
        <v>127</v>
      </c>
    </row>
    <row r="39" spans="1:17" x14ac:dyDescent="0.25">
      <c r="B39" s="1">
        <f t="shared" si="1"/>
        <v>44.69</v>
      </c>
      <c r="F39" s="10"/>
      <c r="G39" s="10"/>
      <c r="H39" s="10"/>
      <c r="I39" t="s">
        <v>75</v>
      </c>
      <c r="J39" cm="1">
        <f t="array" ref="J39">KosztZdolnosci(I39,I38:I41)</f>
        <v>13.75</v>
      </c>
      <c r="K39" cm="1">
        <f t="array" ref="K39">KosztBroni(F$38,M39:Q39,I$38:I$41)</f>
        <v>30.939999999999994</v>
      </c>
      <c r="L39" t="s">
        <v>58</v>
      </c>
      <c r="M39" s="2">
        <v>12</v>
      </c>
      <c r="N39">
        <v>1</v>
      </c>
      <c r="O39" s="2">
        <v>1</v>
      </c>
      <c r="P39" s="2">
        <v>1</v>
      </c>
      <c r="Q39" t="s">
        <v>127</v>
      </c>
    </row>
    <row r="40" spans="1:17" x14ac:dyDescent="0.25">
      <c r="B40" s="1">
        <f t="shared" si="1"/>
        <v>0</v>
      </c>
      <c r="I40" t="s">
        <v>79</v>
      </c>
      <c r="K40" cm="1">
        <f t="array" ref="K40">KosztBroni(F$38,M40:Q40,I$38:I$41)</f>
        <v>5.13</v>
      </c>
      <c r="L40" t="s">
        <v>115</v>
      </c>
      <c r="M40" s="2"/>
      <c r="O40" s="2">
        <v>3</v>
      </c>
      <c r="P40" s="2">
        <v>-1</v>
      </c>
      <c r="Q40" t="s">
        <v>111</v>
      </c>
    </row>
    <row r="41" spans="1:17" x14ac:dyDescent="0.25">
      <c r="I41" t="s">
        <v>110</v>
      </c>
      <c r="K41" cm="1">
        <f t="array" ref="K41">KosztBroni(F$38,M41:Q41,I$38:I$41)</f>
        <v>0</v>
      </c>
    </row>
    <row r="42" spans="1:17" x14ac:dyDescent="0.25">
      <c r="K42" cm="1">
        <f t="array" ref="K42">KosztBroni(F$38,M42:Q42,I$38:I$41)</f>
        <v>0</v>
      </c>
    </row>
    <row r="43" spans="1:17" x14ac:dyDescent="0.25">
      <c r="A43">
        <f>SUM(B43:B47)</f>
        <v>100.66</v>
      </c>
      <c r="B43" s="1">
        <f t="shared" ref="B43:B45" si="2">C43*E43+J43+K43*N43</f>
        <v>97.06</v>
      </c>
      <c r="C43" s="4" cm="1">
        <f t="array" ref="C43">KosztBazowy(F43:H44,I43:I51)</f>
        <v>66.12</v>
      </c>
      <c r="D43" s="4" t="s">
        <v>102</v>
      </c>
      <c r="E43" s="4">
        <v>1</v>
      </c>
      <c r="F43" s="9">
        <v>5</v>
      </c>
      <c r="G43" s="9">
        <v>3</v>
      </c>
      <c r="H43" s="9">
        <v>6</v>
      </c>
      <c r="I43" s="4" t="s">
        <v>74</v>
      </c>
      <c r="J43" s="4"/>
      <c r="K43" cm="1">
        <f t="array" ref="K43">KosztBroni(F$43,M43:Q43,I$43:I$46)</f>
        <v>30.939999999999994</v>
      </c>
      <c r="L43" t="s">
        <v>58</v>
      </c>
      <c r="M43" s="2">
        <v>12</v>
      </c>
      <c r="N43">
        <v>1</v>
      </c>
      <c r="O43" s="2">
        <v>1</v>
      </c>
      <c r="P43" s="2">
        <v>1</v>
      </c>
      <c r="Q43" t="s">
        <v>127</v>
      </c>
    </row>
    <row r="44" spans="1:17" x14ac:dyDescent="0.25">
      <c r="B44" s="1">
        <f t="shared" si="2"/>
        <v>3.5999999999999996</v>
      </c>
      <c r="F44" s="10"/>
      <c r="G44" s="10"/>
      <c r="H44" s="10"/>
      <c r="I44" t="s">
        <v>79</v>
      </c>
      <c r="K44" cm="1">
        <f t="array" ref="K44">KosztBroni(F$43,M44:Q44,I$43:I$46)</f>
        <v>1.7999999999999998</v>
      </c>
      <c r="L44" t="s">
        <v>114</v>
      </c>
      <c r="M44" s="2">
        <v>0</v>
      </c>
      <c r="N44">
        <v>2</v>
      </c>
      <c r="O44" s="2">
        <v>1</v>
      </c>
      <c r="P44" s="2">
        <v>1</v>
      </c>
    </row>
    <row r="45" spans="1:17" x14ac:dyDescent="0.25">
      <c r="B45" s="1">
        <f t="shared" si="2"/>
        <v>0</v>
      </c>
      <c r="I45" t="s">
        <v>113</v>
      </c>
      <c r="K45" cm="1">
        <f t="array" ref="K45">KosztBroni(F$38,M45:Q45,I$38:I$41)</f>
        <v>0</v>
      </c>
      <c r="M45" s="2"/>
      <c r="O45" s="2"/>
      <c r="P45" s="2"/>
    </row>
  </sheetData>
  <mergeCells count="27">
    <mergeCell ref="F43:F44"/>
    <mergeCell ref="G43:G44"/>
    <mergeCell ref="H43:H44"/>
    <mergeCell ref="F33:F34"/>
    <mergeCell ref="G33:G34"/>
    <mergeCell ref="H33:H34"/>
    <mergeCell ref="F38:F39"/>
    <mergeCell ref="G38:G39"/>
    <mergeCell ref="H38:H39"/>
    <mergeCell ref="F24:F25"/>
    <mergeCell ref="G24:G25"/>
    <mergeCell ref="H24:H25"/>
    <mergeCell ref="F28:F29"/>
    <mergeCell ref="G28:G29"/>
    <mergeCell ref="H28:H29"/>
    <mergeCell ref="F19:F20"/>
    <mergeCell ref="G19:G20"/>
    <mergeCell ref="H19:H20"/>
    <mergeCell ref="K1:Q1"/>
    <mergeCell ref="F14:F15"/>
    <mergeCell ref="G14:G15"/>
    <mergeCell ref="H14:H15"/>
    <mergeCell ref="D1:H1"/>
    <mergeCell ref="F3:F4"/>
    <mergeCell ref="G3:G4"/>
    <mergeCell ref="H3:H4"/>
    <mergeCell ref="I1:I2"/>
  </mergeCells>
  <pageMargins left="0.25" right="0.25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5D57C-AF16-4E16-B06C-1DCD83258B79}">
  <sheetPr codeName="Arkusz6"/>
  <dimension ref="A1:Q45"/>
  <sheetViews>
    <sheetView zoomScaleNormal="100" workbookViewId="0">
      <pane ySplit="2" topLeftCell="A3" activePane="bottomLeft" state="frozen"/>
      <selection pane="bottomLeft" activeCell="A21" sqref="A21"/>
    </sheetView>
  </sheetViews>
  <sheetFormatPr defaultRowHeight="15" x14ac:dyDescent="0.25"/>
  <cols>
    <col min="2" max="3" width="4.85546875" customWidth="1"/>
    <col min="4" max="4" width="10" customWidth="1"/>
    <col min="5" max="5" width="3.5703125" customWidth="1"/>
    <col min="6" max="6" width="4.7109375" customWidth="1"/>
    <col min="7" max="7" width="3.85546875" customWidth="1"/>
    <col min="8" max="8" width="5.140625" customWidth="1"/>
    <col min="9" max="9" width="13" customWidth="1"/>
    <col min="10" max="10" width="6.85546875" customWidth="1"/>
    <col min="11" max="11" width="9.140625" customWidth="1"/>
    <col min="12" max="12" width="20.5703125" customWidth="1"/>
    <col min="13" max="13" width="3.42578125" customWidth="1"/>
    <col min="14" max="14" width="4.5703125" style="2" customWidth="1"/>
    <col min="15" max="15" width="3" customWidth="1"/>
    <col min="16" max="16" width="3.140625" customWidth="1"/>
    <col min="17" max="17" width="14.5703125" customWidth="1"/>
  </cols>
  <sheetData>
    <row r="1" spans="1:17" x14ac:dyDescent="0.25">
      <c r="D1" s="11" t="s">
        <v>3</v>
      </c>
      <c r="E1" s="11"/>
      <c r="F1" s="11"/>
      <c r="G1" s="11"/>
      <c r="H1" s="11"/>
      <c r="I1" s="11" t="s">
        <v>19</v>
      </c>
      <c r="K1" s="11" t="s">
        <v>21</v>
      </c>
      <c r="L1" s="11"/>
      <c r="M1" s="11"/>
      <c r="N1" s="11"/>
      <c r="O1" s="11"/>
      <c r="P1" s="11"/>
      <c r="Q1" s="11"/>
    </row>
    <row r="2" spans="1:17" s="7" customFormat="1" x14ac:dyDescent="0.25">
      <c r="A2" t="s">
        <v>120</v>
      </c>
      <c r="B2" s="1" t="s">
        <v>121</v>
      </c>
      <c r="C2" s="7" t="s">
        <v>1</v>
      </c>
      <c r="D2" s="7" t="s">
        <v>0</v>
      </c>
      <c r="E2" s="7" t="s">
        <v>7</v>
      </c>
      <c r="F2" s="7" t="s">
        <v>4</v>
      </c>
      <c r="G2" s="7" t="s">
        <v>5</v>
      </c>
      <c r="H2" s="7" t="s">
        <v>6</v>
      </c>
      <c r="I2" s="11"/>
      <c r="J2" s="7" t="s">
        <v>1</v>
      </c>
      <c r="K2" s="7" t="s">
        <v>1</v>
      </c>
      <c r="L2" s="7" t="s">
        <v>0</v>
      </c>
      <c r="M2" s="7" t="s">
        <v>9</v>
      </c>
      <c r="N2" s="6" t="s">
        <v>7</v>
      </c>
      <c r="O2" s="7" t="s">
        <v>8</v>
      </c>
      <c r="P2" s="7" t="s">
        <v>2</v>
      </c>
      <c r="Q2" s="7" t="s">
        <v>20</v>
      </c>
    </row>
    <row r="3" spans="1:17" x14ac:dyDescent="0.25">
      <c r="A3">
        <f>SUM(B3:B13)</f>
        <v>649.125</v>
      </c>
      <c r="B3">
        <f>C3*E3+J3+K3*N3</f>
        <v>119.71499999999997</v>
      </c>
      <c r="C3" cm="1">
        <f t="array" ref="C3">KosztBazowy(F3:H4,I3:I7)</f>
        <v>21.542999999999996</v>
      </c>
      <c r="D3" t="s">
        <v>80</v>
      </c>
      <c r="E3">
        <v>5</v>
      </c>
      <c r="F3" s="10">
        <v>3</v>
      </c>
      <c r="G3" s="10">
        <v>3</v>
      </c>
      <c r="H3" s="10">
        <v>2</v>
      </c>
      <c r="I3" t="s">
        <v>31</v>
      </c>
      <c r="K3" cm="1">
        <f t="array" ref="K3">GetWeapon(F$3,M3:Q3,I$3)</f>
        <v>2.4</v>
      </c>
      <c r="L3" t="s">
        <v>24</v>
      </c>
      <c r="M3" s="2"/>
      <c r="N3" s="2">
        <v>5</v>
      </c>
      <c r="O3" s="2">
        <v>1</v>
      </c>
      <c r="P3" s="2">
        <v>0</v>
      </c>
    </row>
    <row r="4" spans="1:17" x14ac:dyDescent="0.25">
      <c r="B4">
        <f t="shared" ref="B4:B27" si="0">C4*E4+J4+K4*N4</f>
        <v>187.5</v>
      </c>
      <c r="F4" s="10"/>
      <c r="G4" s="10"/>
      <c r="H4" s="10"/>
      <c r="I4" t="s">
        <v>62</v>
      </c>
      <c r="K4" cm="1">
        <f t="array" ref="K4">GetWeapon(F3,M4:Q4,I3:I7)</f>
        <v>37.5</v>
      </c>
      <c r="L4" t="s">
        <v>48</v>
      </c>
      <c r="M4" s="2">
        <v>24</v>
      </c>
      <c r="N4" s="2">
        <v>5</v>
      </c>
      <c r="O4" s="2">
        <v>2</v>
      </c>
      <c r="P4" s="2">
        <v>1</v>
      </c>
      <c r="Q4" t="s">
        <v>35</v>
      </c>
    </row>
    <row r="5" spans="1:17" x14ac:dyDescent="0.25">
      <c r="B5">
        <f t="shared" si="0"/>
        <v>0</v>
      </c>
      <c r="M5" s="2"/>
      <c r="O5" s="2"/>
      <c r="P5" s="2"/>
    </row>
    <row r="6" spans="1:17" x14ac:dyDescent="0.25">
      <c r="B6">
        <f t="shared" si="0"/>
        <v>0</v>
      </c>
      <c r="M6" s="2"/>
      <c r="O6" s="2"/>
      <c r="P6" s="2"/>
    </row>
    <row r="7" spans="1:17" x14ac:dyDescent="0.25">
      <c r="B7">
        <f t="shared" si="0"/>
        <v>0</v>
      </c>
      <c r="M7" s="2"/>
      <c r="O7" s="2"/>
      <c r="P7" s="2"/>
    </row>
    <row r="8" spans="1:17" x14ac:dyDescent="0.25">
      <c r="B8">
        <f t="shared" si="0"/>
        <v>0</v>
      </c>
      <c r="M8" s="2"/>
      <c r="O8" s="2"/>
      <c r="P8" s="2"/>
    </row>
    <row r="9" spans="1:17" x14ac:dyDescent="0.25">
      <c r="A9">
        <f>SUM(B9:B19)</f>
        <v>664.92000000000007</v>
      </c>
      <c r="B9">
        <f t="shared" si="0"/>
        <v>116.91000000000001</v>
      </c>
      <c r="C9" cm="1">
        <f t="array" ref="C9">KosztBazowy(F9:H10,I9:I13)</f>
        <v>36.57</v>
      </c>
      <c r="D9" t="s">
        <v>81</v>
      </c>
      <c r="E9">
        <v>3</v>
      </c>
      <c r="F9" s="10">
        <v>3</v>
      </c>
      <c r="G9" s="10">
        <v>3</v>
      </c>
      <c r="H9" s="10">
        <v>3</v>
      </c>
      <c r="I9" t="s">
        <v>31</v>
      </c>
      <c r="K9" cm="1">
        <f t="array" ref="K9">GetWeapon(F$3,M9:Q9,I$3)</f>
        <v>2.4</v>
      </c>
      <c r="L9" t="s">
        <v>24</v>
      </c>
      <c r="M9" s="2"/>
      <c r="N9" s="2">
        <v>3</v>
      </c>
      <c r="O9" s="2">
        <v>1</v>
      </c>
      <c r="P9" s="2">
        <v>0</v>
      </c>
    </row>
    <row r="10" spans="1:17" x14ac:dyDescent="0.25">
      <c r="B10">
        <f t="shared" si="0"/>
        <v>225</v>
      </c>
      <c r="F10" s="10"/>
      <c r="G10" s="10"/>
      <c r="H10" s="10"/>
      <c r="I10" t="s">
        <v>62</v>
      </c>
      <c r="K10" cm="1">
        <f t="array" ref="K10">GetWeapon(F9,M10:Q10,I9:I13)</f>
        <v>75</v>
      </c>
      <c r="L10" t="s">
        <v>82</v>
      </c>
      <c r="M10" s="2">
        <v>24</v>
      </c>
      <c r="N10" s="2">
        <v>3</v>
      </c>
      <c r="O10" s="2">
        <v>4</v>
      </c>
      <c r="P10" s="2">
        <v>1</v>
      </c>
      <c r="Q10" t="s">
        <v>35</v>
      </c>
    </row>
    <row r="11" spans="1:17" x14ac:dyDescent="0.25">
      <c r="B11">
        <f t="shared" si="0"/>
        <v>0</v>
      </c>
      <c r="F11" s="10"/>
      <c r="G11" s="10"/>
      <c r="H11" s="10"/>
      <c r="I11" t="s">
        <v>79</v>
      </c>
      <c r="M11" s="2"/>
      <c r="O11" s="2"/>
      <c r="P11" s="2"/>
    </row>
    <row r="12" spans="1:17" x14ac:dyDescent="0.25">
      <c r="B12">
        <f t="shared" si="0"/>
        <v>0</v>
      </c>
      <c r="F12" s="10"/>
      <c r="G12" s="10"/>
      <c r="H12" s="10"/>
      <c r="I12" t="s">
        <v>109</v>
      </c>
      <c r="M12" s="2"/>
      <c r="O12" s="2"/>
      <c r="P12" s="2"/>
    </row>
    <row r="13" spans="1:17" x14ac:dyDescent="0.25">
      <c r="B13">
        <f t="shared" si="0"/>
        <v>0</v>
      </c>
      <c r="M13" s="2"/>
      <c r="O13" s="2"/>
      <c r="P13" s="2"/>
    </row>
    <row r="14" spans="1:17" x14ac:dyDescent="0.25">
      <c r="B14">
        <f t="shared" si="0"/>
        <v>0</v>
      </c>
      <c r="M14" s="2"/>
      <c r="O14" s="2"/>
      <c r="P14" s="2"/>
    </row>
    <row r="15" spans="1:17" x14ac:dyDescent="0.25">
      <c r="A15">
        <f>SUM(B15:B25)</f>
        <v>648.91000000000008</v>
      </c>
      <c r="B15">
        <f t="shared" si="0"/>
        <v>147.51</v>
      </c>
      <c r="C15" cm="1">
        <f t="array" ref="C15">KosztBazowy(F15:H16,I15:I19)</f>
        <v>40.049999999999997</v>
      </c>
      <c r="D15" t="s">
        <v>83</v>
      </c>
      <c r="E15">
        <v>3</v>
      </c>
      <c r="F15" s="10">
        <v>3</v>
      </c>
      <c r="G15" s="10">
        <v>2</v>
      </c>
      <c r="H15" s="10">
        <v>3</v>
      </c>
      <c r="I15" t="s">
        <v>31</v>
      </c>
      <c r="K15" cm="1">
        <f t="array" ref="K15">GetWeapon(F$3,M15:Q15,I$3)</f>
        <v>9.1199999999999992</v>
      </c>
      <c r="L15" t="s">
        <v>26</v>
      </c>
      <c r="M15" s="2"/>
      <c r="N15" s="2">
        <v>3</v>
      </c>
      <c r="O15" s="2">
        <v>2</v>
      </c>
      <c r="P15" s="2">
        <v>2</v>
      </c>
    </row>
    <row r="16" spans="1:17" x14ac:dyDescent="0.25">
      <c r="B16">
        <f t="shared" si="0"/>
        <v>175.5</v>
      </c>
      <c r="F16" s="10"/>
      <c r="G16" s="10"/>
      <c r="H16" s="10"/>
      <c r="I16" t="s">
        <v>62</v>
      </c>
      <c r="K16" cm="1">
        <f t="array" ref="K16">GetWeapon(F15,M16:Q16,I15:I19)</f>
        <v>58.5</v>
      </c>
      <c r="L16" t="s">
        <v>51</v>
      </c>
      <c r="M16" s="2">
        <v>18</v>
      </c>
      <c r="N16" s="2">
        <v>3</v>
      </c>
      <c r="O16" s="2">
        <v>3</v>
      </c>
      <c r="P16" s="2">
        <v>1</v>
      </c>
      <c r="Q16" t="s">
        <v>49</v>
      </c>
    </row>
    <row r="17" spans="1:17" x14ac:dyDescent="0.25">
      <c r="B17">
        <f t="shared" si="0"/>
        <v>0</v>
      </c>
      <c r="I17" t="s">
        <v>84</v>
      </c>
      <c r="M17" s="2"/>
      <c r="O17" s="2"/>
      <c r="P17" s="2"/>
    </row>
    <row r="18" spans="1:17" x14ac:dyDescent="0.25">
      <c r="B18">
        <f t="shared" si="0"/>
        <v>0</v>
      </c>
      <c r="I18" t="s">
        <v>85</v>
      </c>
      <c r="M18" s="2"/>
      <c r="O18" s="2"/>
      <c r="P18" s="2"/>
    </row>
    <row r="19" spans="1:17" x14ac:dyDescent="0.25">
      <c r="B19">
        <f t="shared" si="0"/>
        <v>0</v>
      </c>
      <c r="M19" s="2"/>
      <c r="O19" s="2"/>
      <c r="P19" s="2"/>
    </row>
    <row r="20" spans="1:17" x14ac:dyDescent="0.25">
      <c r="B20">
        <f t="shared" si="0"/>
        <v>0</v>
      </c>
      <c r="M20" s="2"/>
      <c r="O20" s="2"/>
      <c r="P20" s="2"/>
    </row>
    <row r="21" spans="1:17" x14ac:dyDescent="0.25">
      <c r="A21">
        <f>SUM(B21:B31)</f>
        <v>325.89999999999998</v>
      </c>
      <c r="B21">
        <f t="shared" si="0"/>
        <v>190.2</v>
      </c>
      <c r="C21" cm="1">
        <f t="array" ref="C21">KosztBazowy(F21:H22,I21:I25)</f>
        <v>156</v>
      </c>
      <c r="D21" t="s">
        <v>86</v>
      </c>
      <c r="E21">
        <v>1</v>
      </c>
      <c r="F21" s="10">
        <v>3</v>
      </c>
      <c r="G21" s="10">
        <v>2</v>
      </c>
      <c r="H21" s="10">
        <v>9</v>
      </c>
      <c r="I21" t="s">
        <v>31</v>
      </c>
      <c r="K21" cm="1">
        <f t="array" ref="K21">GetWeapon(F$3,M21:Q21,I$3)</f>
        <v>34.199999999999996</v>
      </c>
      <c r="L21" t="s">
        <v>87</v>
      </c>
      <c r="M21" s="2"/>
      <c r="N21" s="2">
        <v>1</v>
      </c>
      <c r="O21" s="2">
        <v>3</v>
      </c>
      <c r="P21" s="2">
        <v>4</v>
      </c>
      <c r="Q21" t="s">
        <v>125</v>
      </c>
    </row>
    <row r="22" spans="1:17" ht="15" customHeight="1" x14ac:dyDescent="0.25">
      <c r="B22">
        <f t="shared" si="0"/>
        <v>58.5</v>
      </c>
      <c r="F22" s="10"/>
      <c r="G22" s="10"/>
      <c r="H22" s="10"/>
      <c r="I22" t="s">
        <v>62</v>
      </c>
      <c r="K22" cm="1">
        <f t="array" ref="K22">GetWeapon(F21,M22:Q22,I21:I25)</f>
        <v>58.5</v>
      </c>
      <c r="L22" t="s">
        <v>51</v>
      </c>
      <c r="M22" s="2">
        <v>18</v>
      </c>
      <c r="N22" s="2">
        <v>1</v>
      </c>
      <c r="O22" s="2">
        <v>3</v>
      </c>
      <c r="P22" s="2">
        <v>1</v>
      </c>
      <c r="Q22" t="s">
        <v>49</v>
      </c>
    </row>
    <row r="23" spans="1:17" ht="15" customHeight="1" x14ac:dyDescent="0.25">
      <c r="B23">
        <f t="shared" si="0"/>
        <v>52</v>
      </c>
      <c r="K23" cm="1">
        <f t="array" ref="K23">GetWeapon(F21,M23:Q23,I21:I25)</f>
        <v>52</v>
      </c>
      <c r="L23" t="s">
        <v>88</v>
      </c>
      <c r="M23" s="2">
        <v>18</v>
      </c>
      <c r="N23" s="2">
        <v>1</v>
      </c>
      <c r="O23" s="2">
        <v>1</v>
      </c>
      <c r="P23" s="2">
        <v>4</v>
      </c>
      <c r="Q23" t="s">
        <v>123</v>
      </c>
    </row>
    <row r="24" spans="1:17" x14ac:dyDescent="0.25">
      <c r="B24">
        <f t="shared" si="0"/>
        <v>25.200000000000003</v>
      </c>
      <c r="K24" cm="1">
        <f t="array" ref="K24">GetWeapon(F22,M24:Q24,I22:I26)</f>
        <v>12.600000000000001</v>
      </c>
      <c r="L24" t="s">
        <v>89</v>
      </c>
      <c r="M24" s="2"/>
      <c r="N24" s="2">
        <v>2</v>
      </c>
      <c r="O24" s="2">
        <v>1</v>
      </c>
      <c r="P24" s="2">
        <v>1</v>
      </c>
    </row>
    <row r="25" spans="1:17" x14ac:dyDescent="0.25">
      <c r="B25">
        <f t="shared" si="0"/>
        <v>0</v>
      </c>
      <c r="M25" s="2"/>
      <c r="O25" s="2"/>
      <c r="P25" s="2"/>
    </row>
    <row r="26" spans="1:17" x14ac:dyDescent="0.25">
      <c r="B26">
        <f t="shared" si="0"/>
        <v>0</v>
      </c>
      <c r="M26" s="2"/>
      <c r="O26" s="2"/>
      <c r="P26" s="2"/>
    </row>
    <row r="27" spans="1:17" x14ac:dyDescent="0.25">
      <c r="B27">
        <f t="shared" si="0"/>
        <v>0</v>
      </c>
      <c r="M27" s="2"/>
      <c r="O27" s="2"/>
      <c r="P27" s="2"/>
    </row>
    <row r="28" spans="1:17" x14ac:dyDescent="0.25">
      <c r="F28" s="10"/>
      <c r="G28" s="10"/>
      <c r="H28" s="10"/>
      <c r="M28" s="2"/>
      <c r="O28" s="2"/>
      <c r="P28" s="2"/>
    </row>
    <row r="29" spans="1:17" x14ac:dyDescent="0.25">
      <c r="F29" s="10"/>
      <c r="G29" s="10"/>
      <c r="H29" s="10"/>
      <c r="M29" s="2"/>
      <c r="O29" s="2"/>
      <c r="P29" s="2"/>
    </row>
    <row r="30" spans="1:17" x14ac:dyDescent="0.25">
      <c r="M30" s="2"/>
      <c r="O30" s="2"/>
      <c r="P30" s="2"/>
    </row>
    <row r="31" spans="1:17" x14ac:dyDescent="0.25">
      <c r="M31" s="2"/>
      <c r="O31" s="2"/>
      <c r="P31" s="2"/>
    </row>
    <row r="32" spans="1:17" x14ac:dyDescent="0.25">
      <c r="M32" s="2"/>
      <c r="O32" s="2"/>
      <c r="P32" s="2"/>
    </row>
    <row r="33" spans="6:16" x14ac:dyDescent="0.25">
      <c r="F33" s="10"/>
      <c r="G33" s="10"/>
      <c r="H33" s="10"/>
      <c r="M33" s="2"/>
      <c r="O33" s="2"/>
      <c r="P33" s="2"/>
    </row>
    <row r="34" spans="6:16" x14ac:dyDescent="0.25">
      <c r="F34" s="10"/>
      <c r="G34" s="10"/>
      <c r="H34" s="10"/>
      <c r="M34" s="2"/>
      <c r="O34" s="2"/>
      <c r="P34" s="2"/>
    </row>
    <row r="35" spans="6:16" x14ac:dyDescent="0.25">
      <c r="M35" s="2"/>
      <c r="O35" s="2"/>
      <c r="P35" s="2"/>
    </row>
    <row r="36" spans="6:16" x14ac:dyDescent="0.25">
      <c r="M36" s="2"/>
      <c r="O36" s="2"/>
      <c r="P36" s="2"/>
    </row>
    <row r="37" spans="6:16" x14ac:dyDescent="0.25">
      <c r="M37" s="2"/>
      <c r="O37" s="2"/>
      <c r="P37" s="2"/>
    </row>
    <row r="38" spans="6:16" x14ac:dyDescent="0.25">
      <c r="F38" s="10"/>
      <c r="G38" s="10"/>
      <c r="H38" s="10"/>
      <c r="M38" s="2"/>
      <c r="O38" s="2"/>
      <c r="P38" s="2"/>
    </row>
    <row r="39" spans="6:16" x14ac:dyDescent="0.25">
      <c r="F39" s="10"/>
      <c r="G39" s="10"/>
      <c r="H39" s="10"/>
      <c r="M39" s="2"/>
      <c r="O39" s="2"/>
      <c r="P39" s="2"/>
    </row>
    <row r="40" spans="6:16" x14ac:dyDescent="0.25">
      <c r="M40" s="2"/>
      <c r="O40" s="2"/>
      <c r="P40" s="2"/>
    </row>
    <row r="41" spans="6:16" x14ac:dyDescent="0.25">
      <c r="M41" s="2"/>
      <c r="O41" s="2"/>
      <c r="P41" s="2"/>
    </row>
    <row r="43" spans="6:16" x14ac:dyDescent="0.25">
      <c r="F43" s="10"/>
      <c r="G43" s="10"/>
      <c r="H43" s="10"/>
      <c r="M43" s="2"/>
      <c r="O43" s="2"/>
      <c r="P43" s="2"/>
    </row>
    <row r="44" spans="6:16" x14ac:dyDescent="0.25">
      <c r="F44" s="10"/>
      <c r="G44" s="10"/>
      <c r="H44" s="10"/>
      <c r="M44" s="2"/>
      <c r="O44" s="2"/>
      <c r="P44" s="2"/>
    </row>
    <row r="45" spans="6:16" x14ac:dyDescent="0.25">
      <c r="M45" s="2"/>
      <c r="O45" s="2"/>
      <c r="P45" s="2"/>
    </row>
  </sheetData>
  <mergeCells count="30">
    <mergeCell ref="G11:G12"/>
    <mergeCell ref="H11:H12"/>
    <mergeCell ref="F38:F39"/>
    <mergeCell ref="G38:G39"/>
    <mergeCell ref="H38:H39"/>
    <mergeCell ref="F43:F44"/>
    <mergeCell ref="G43:G44"/>
    <mergeCell ref="H43:H44"/>
    <mergeCell ref="F28:F29"/>
    <mergeCell ref="G28:G29"/>
    <mergeCell ref="H28:H29"/>
    <mergeCell ref="F33:F34"/>
    <mergeCell ref="G33:G34"/>
    <mergeCell ref="H33:H34"/>
    <mergeCell ref="K1:Q1"/>
    <mergeCell ref="F3:F4"/>
    <mergeCell ref="G3:G4"/>
    <mergeCell ref="H3:H4"/>
    <mergeCell ref="F21:F22"/>
    <mergeCell ref="G21:G22"/>
    <mergeCell ref="H21:H22"/>
    <mergeCell ref="D1:H1"/>
    <mergeCell ref="I1:I2"/>
    <mergeCell ref="F9:F10"/>
    <mergeCell ref="G9:G10"/>
    <mergeCell ref="H9:H10"/>
    <mergeCell ref="F15:F16"/>
    <mergeCell ref="G15:G16"/>
    <mergeCell ref="H15:H16"/>
    <mergeCell ref="F11:F12"/>
  </mergeCells>
  <pageMargins left="0.25" right="0.25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DCBDC-BEA3-4D31-8E8E-7214360C8221}">
  <sheetPr codeName="Arkusz7"/>
  <dimension ref="A1:Q46"/>
  <sheetViews>
    <sheetView zoomScaleNormal="100" workbookViewId="0">
      <pane ySplit="2" topLeftCell="A3" activePane="bottomLeft" state="frozen"/>
      <selection pane="bottomLeft" activeCell="X24" sqref="X24"/>
    </sheetView>
  </sheetViews>
  <sheetFormatPr defaultRowHeight="15" x14ac:dyDescent="0.25"/>
  <cols>
    <col min="2" max="3" width="4.85546875" customWidth="1"/>
    <col min="4" max="4" width="10" customWidth="1"/>
    <col min="5" max="5" width="3.5703125" customWidth="1"/>
    <col min="6" max="6" width="4.7109375" customWidth="1"/>
    <col min="7" max="7" width="3.85546875" customWidth="1"/>
    <col min="8" max="8" width="5.140625" customWidth="1"/>
    <col min="9" max="9" width="13" customWidth="1"/>
    <col min="10" max="10" width="6.85546875" customWidth="1"/>
    <col min="11" max="11" width="9.140625" customWidth="1"/>
    <col min="12" max="12" width="20.5703125" customWidth="1"/>
    <col min="13" max="13" width="3.42578125" customWidth="1"/>
    <col min="14" max="14" width="4.5703125" style="2" customWidth="1"/>
    <col min="15" max="15" width="3" customWidth="1"/>
    <col min="16" max="16" width="3.140625" customWidth="1"/>
    <col min="17" max="17" width="14.5703125" customWidth="1"/>
  </cols>
  <sheetData>
    <row r="1" spans="1:17" x14ac:dyDescent="0.25">
      <c r="B1">
        <f>SUM(B3:B53)</f>
        <v>810.24099999999999</v>
      </c>
      <c r="D1" s="11" t="s">
        <v>3</v>
      </c>
      <c r="E1" s="11"/>
      <c r="F1" s="11"/>
      <c r="G1" s="11"/>
      <c r="H1" s="11"/>
      <c r="I1" s="11" t="s">
        <v>19</v>
      </c>
      <c r="K1" s="11" t="s">
        <v>21</v>
      </c>
      <c r="L1" s="11"/>
      <c r="M1" s="11"/>
      <c r="N1" s="11"/>
      <c r="O1" s="11"/>
      <c r="P1" s="11"/>
      <c r="Q1" s="11"/>
    </row>
    <row r="2" spans="1:17" s="7" customFormat="1" x14ac:dyDescent="0.25">
      <c r="A2" t="s">
        <v>120</v>
      </c>
      <c r="B2" s="1" t="s">
        <v>121</v>
      </c>
      <c r="C2" s="7" t="s">
        <v>1</v>
      </c>
      <c r="D2" s="7" t="s">
        <v>0</v>
      </c>
      <c r="E2" s="7" t="s">
        <v>7</v>
      </c>
      <c r="F2" s="7" t="s">
        <v>4</v>
      </c>
      <c r="G2" s="7" t="s">
        <v>5</v>
      </c>
      <c r="H2" s="7" t="s">
        <v>6</v>
      </c>
      <c r="I2" s="11"/>
      <c r="J2" s="7" t="s">
        <v>1</v>
      </c>
      <c r="K2" s="7" t="s">
        <v>1</v>
      </c>
      <c r="L2" s="7" t="s">
        <v>0</v>
      </c>
      <c r="M2" s="7" t="s">
        <v>9</v>
      </c>
      <c r="N2" s="6" t="s">
        <v>7</v>
      </c>
      <c r="O2" s="7" t="s">
        <v>8</v>
      </c>
      <c r="P2" s="7" t="s">
        <v>2</v>
      </c>
      <c r="Q2" s="7" t="s">
        <v>20</v>
      </c>
    </row>
    <row r="3" spans="1:17" x14ac:dyDescent="0.25">
      <c r="A3">
        <f>SUM(B3:B13)</f>
        <v>312.54000000000002</v>
      </c>
      <c r="B3">
        <f>C3*E3+J3+K3*N3</f>
        <v>129.80000000000001</v>
      </c>
      <c r="C3" cm="1">
        <f t="array" ref="C3">KosztBazowy(F3:H4,I3:I7)</f>
        <v>8.6</v>
      </c>
      <c r="D3" t="s">
        <v>90</v>
      </c>
      <c r="E3">
        <v>10</v>
      </c>
      <c r="F3" s="10">
        <v>4</v>
      </c>
      <c r="G3" s="10">
        <v>6</v>
      </c>
      <c r="H3" s="10">
        <v>2</v>
      </c>
      <c r="I3" t="s">
        <v>68</v>
      </c>
      <c r="K3" cm="1">
        <f t="array" ref="K3">GetWeapon(F$3,M3:Q3,I$3:I$5)</f>
        <v>4.38</v>
      </c>
      <c r="L3" t="s">
        <v>91</v>
      </c>
      <c r="M3" s="2"/>
      <c r="N3" s="2">
        <v>10</v>
      </c>
      <c r="O3" s="2">
        <v>1</v>
      </c>
      <c r="P3" s="2">
        <v>0</v>
      </c>
    </row>
    <row r="4" spans="1:17" x14ac:dyDescent="0.25">
      <c r="B4">
        <f t="shared" ref="B4:B43" si="0">C4*E4+J4+K4*N4</f>
        <v>56.8</v>
      </c>
      <c r="F4" s="10"/>
      <c r="G4" s="10"/>
      <c r="H4" s="10"/>
      <c r="I4" t="s">
        <v>94</v>
      </c>
      <c r="K4" cm="1">
        <f t="array" ref="K4">GetWeapon(F$3,M4:Q4,I$3:I$6)</f>
        <v>5.68</v>
      </c>
      <c r="L4" t="s">
        <v>92</v>
      </c>
      <c r="M4" s="2">
        <v>12</v>
      </c>
      <c r="N4" s="2">
        <v>10</v>
      </c>
      <c r="O4" s="2">
        <v>1</v>
      </c>
      <c r="P4" s="2">
        <v>0</v>
      </c>
      <c r="Q4" t="s">
        <v>32</v>
      </c>
    </row>
    <row r="5" spans="1:17" x14ac:dyDescent="0.25">
      <c r="B5">
        <f t="shared" si="0"/>
        <v>0</v>
      </c>
      <c r="I5" t="s">
        <v>69</v>
      </c>
      <c r="M5" s="2"/>
      <c r="O5" s="2"/>
      <c r="P5" s="2"/>
    </row>
    <row r="6" spans="1:17" x14ac:dyDescent="0.25">
      <c r="B6">
        <f t="shared" si="0"/>
        <v>0</v>
      </c>
      <c r="M6" s="2"/>
      <c r="O6" s="2"/>
      <c r="P6" s="2"/>
    </row>
    <row r="7" spans="1:17" x14ac:dyDescent="0.25">
      <c r="B7">
        <f t="shared" si="0"/>
        <v>0</v>
      </c>
      <c r="M7" s="2"/>
      <c r="O7" s="2"/>
      <c r="P7" s="2"/>
    </row>
    <row r="8" spans="1:17" x14ac:dyDescent="0.25">
      <c r="B8">
        <f t="shared" si="0"/>
        <v>0</v>
      </c>
      <c r="M8" s="2"/>
      <c r="O8" s="2"/>
      <c r="P8" s="2"/>
    </row>
    <row r="9" spans="1:17" x14ac:dyDescent="0.25">
      <c r="A9">
        <f>SUM(B9:B19)</f>
        <v>353.00099999999998</v>
      </c>
      <c r="B9">
        <f t="shared" si="0"/>
        <v>63.57</v>
      </c>
      <c r="C9" cm="1">
        <f t="array" ref="C9">KosztBazowy(F9:H10,I9:I13)</f>
        <v>19</v>
      </c>
      <c r="D9" t="s">
        <v>103</v>
      </c>
      <c r="E9">
        <v>3</v>
      </c>
      <c r="F9" s="10">
        <v>4</v>
      </c>
      <c r="G9" s="10">
        <v>5</v>
      </c>
      <c r="H9" s="10">
        <v>3</v>
      </c>
      <c r="I9" t="s">
        <v>31</v>
      </c>
      <c r="K9" cm="1">
        <f t="array" ref="K9">GetWeapon(F$9,M9:Q9,I$9:I$14)</f>
        <v>2.19</v>
      </c>
      <c r="L9" t="s">
        <v>91</v>
      </c>
      <c r="M9" s="2"/>
      <c r="N9" s="2">
        <v>3</v>
      </c>
      <c r="O9" s="2">
        <v>1</v>
      </c>
      <c r="P9" s="2">
        <v>0</v>
      </c>
    </row>
    <row r="10" spans="1:17" x14ac:dyDescent="0.25">
      <c r="B10">
        <f t="shared" si="0"/>
        <v>14.370000000000001</v>
      </c>
      <c r="F10" s="10"/>
      <c r="G10" s="10"/>
      <c r="H10" s="10"/>
      <c r="I10" t="s">
        <v>79</v>
      </c>
      <c r="K10" cm="1">
        <f t="array" ref="K10">GetWeapon(F9,M10:Q10,I9:I13)</f>
        <v>4.79</v>
      </c>
      <c r="L10" t="s">
        <v>92</v>
      </c>
      <c r="M10" s="2">
        <v>12</v>
      </c>
      <c r="N10" s="2">
        <v>3</v>
      </c>
      <c r="O10" s="2">
        <v>1</v>
      </c>
      <c r="P10" s="2">
        <v>0</v>
      </c>
      <c r="Q10" t="s">
        <v>32</v>
      </c>
    </row>
    <row r="11" spans="1:17" x14ac:dyDescent="0.25">
      <c r="B11">
        <f t="shared" si="0"/>
        <v>48</v>
      </c>
      <c r="F11" s="10"/>
      <c r="G11" s="10"/>
      <c r="H11" s="10"/>
      <c r="I11" t="s">
        <v>94</v>
      </c>
      <c r="K11" cm="1">
        <f t="array" ref="K11">GetWeapon(F9,M11:Q11,I9:I14)</f>
        <v>8</v>
      </c>
      <c r="L11" t="s">
        <v>93</v>
      </c>
      <c r="M11" s="2">
        <v>18</v>
      </c>
      <c r="N11" s="2">
        <v>6</v>
      </c>
      <c r="O11" s="2">
        <v>2</v>
      </c>
      <c r="P11" s="2">
        <v>0</v>
      </c>
    </row>
    <row r="12" spans="1:17" x14ac:dyDescent="0.25">
      <c r="B12">
        <f t="shared" si="0"/>
        <v>0</v>
      </c>
      <c r="F12" s="10"/>
      <c r="G12" s="10"/>
      <c r="H12" s="10"/>
      <c r="I12" t="s">
        <v>69</v>
      </c>
      <c r="M12" s="2"/>
      <c r="O12" s="2"/>
      <c r="P12" s="2"/>
    </row>
    <row r="13" spans="1:17" x14ac:dyDescent="0.25">
      <c r="B13">
        <f t="shared" si="0"/>
        <v>0</v>
      </c>
      <c r="I13" t="s">
        <v>109</v>
      </c>
      <c r="M13" s="2"/>
      <c r="O13" s="2"/>
      <c r="P13" s="2"/>
    </row>
    <row r="14" spans="1:17" x14ac:dyDescent="0.25">
      <c r="B14">
        <f t="shared" si="0"/>
        <v>0</v>
      </c>
      <c r="M14" s="2"/>
      <c r="O14" s="2"/>
      <c r="P14" s="2"/>
    </row>
    <row r="15" spans="1:17" ht="15" customHeight="1" x14ac:dyDescent="0.25">
      <c r="A15">
        <f>SUM(B15:B25)</f>
        <v>344.06100000000004</v>
      </c>
      <c r="B15">
        <f t="shared" ref="B15:B18" si="1">C15*E15+J15+K15*N15</f>
        <v>185.42100000000002</v>
      </c>
      <c r="C15" cm="1">
        <f t="array" ref="C15">KosztBazowy(F15:H16,I15:I19)</f>
        <v>25.602500000000003</v>
      </c>
      <c r="D15" t="s">
        <v>104</v>
      </c>
      <c r="E15">
        <v>6</v>
      </c>
      <c r="F15" s="10">
        <v>3</v>
      </c>
      <c r="G15" s="10">
        <v>4</v>
      </c>
      <c r="H15" s="10">
        <v>3</v>
      </c>
      <c r="I15" t="s">
        <v>68</v>
      </c>
      <c r="K15" cm="1">
        <f t="array" ref="K15">GetWeapon(F$15,M15:Q15,I$15:I$20)</f>
        <v>10.602</v>
      </c>
      <c r="L15" t="s">
        <v>95</v>
      </c>
      <c r="M15" s="2"/>
      <c r="N15" s="2">
        <v>3</v>
      </c>
      <c r="O15" s="2">
        <v>1</v>
      </c>
      <c r="P15" s="2">
        <v>2</v>
      </c>
      <c r="Q15" t="s">
        <v>122</v>
      </c>
    </row>
    <row r="16" spans="1:17" ht="15" customHeight="1" x14ac:dyDescent="0.25">
      <c r="B16">
        <f t="shared" si="1"/>
        <v>29.639999999999997</v>
      </c>
      <c r="F16" s="10"/>
      <c r="G16" s="10"/>
      <c r="H16" s="10"/>
      <c r="I16" t="s">
        <v>94</v>
      </c>
      <c r="K16" cm="1">
        <f t="array" ref="K16">GetWeapon(F15,M16:Q16,I15:I19)</f>
        <v>9.879999999999999</v>
      </c>
      <c r="L16" t="s">
        <v>96</v>
      </c>
      <c r="M16" s="2">
        <v>18</v>
      </c>
      <c r="N16" s="2">
        <v>3</v>
      </c>
      <c r="O16" s="2">
        <v>1</v>
      </c>
      <c r="P16" s="2">
        <v>2</v>
      </c>
      <c r="Q16" t="s">
        <v>126</v>
      </c>
    </row>
    <row r="17" spans="1:17" x14ac:dyDescent="0.25">
      <c r="B17">
        <f t="shared" si="1"/>
        <v>12</v>
      </c>
      <c r="F17" s="10"/>
      <c r="G17" s="10"/>
      <c r="H17" s="10"/>
      <c r="I17" t="s">
        <v>69</v>
      </c>
      <c r="K17" cm="1">
        <f t="array" ref="K17">GetWeapon(F15,M17:Q17,I15:I20)</f>
        <v>4</v>
      </c>
      <c r="L17" t="s">
        <v>93</v>
      </c>
      <c r="M17" s="2">
        <v>18</v>
      </c>
      <c r="N17" s="2">
        <v>3</v>
      </c>
      <c r="O17" s="2">
        <v>2</v>
      </c>
      <c r="P17" s="2">
        <v>0</v>
      </c>
    </row>
    <row r="18" spans="1:17" x14ac:dyDescent="0.25">
      <c r="B18">
        <f t="shared" si="1"/>
        <v>0</v>
      </c>
      <c r="F18" s="10"/>
      <c r="G18" s="10"/>
      <c r="H18" s="10"/>
      <c r="M18" s="2"/>
      <c r="O18" s="2"/>
      <c r="P18" s="2"/>
    </row>
    <row r="19" spans="1:17" x14ac:dyDescent="0.25">
      <c r="B19">
        <f t="shared" si="0"/>
        <v>0</v>
      </c>
      <c r="M19" s="2"/>
      <c r="O19" s="2"/>
      <c r="P19" s="2"/>
    </row>
    <row r="20" spans="1:17" x14ac:dyDescent="0.25">
      <c r="B20">
        <f t="shared" si="0"/>
        <v>0</v>
      </c>
      <c r="M20" s="2"/>
      <c r="O20" s="2"/>
      <c r="P20" s="2"/>
    </row>
    <row r="21" spans="1:17" ht="15" customHeight="1" x14ac:dyDescent="0.25">
      <c r="A21">
        <f>SUM(B21:B31)</f>
        <v>228.8</v>
      </c>
      <c r="B21">
        <f t="shared" si="0"/>
        <v>66.48</v>
      </c>
      <c r="C21" cm="1">
        <f t="array" ref="C21">KosztBazowy(F21:H22,I21:I25)</f>
        <v>17</v>
      </c>
      <c r="D21" t="s">
        <v>105</v>
      </c>
      <c r="E21">
        <v>3</v>
      </c>
      <c r="F21" s="10">
        <v>4</v>
      </c>
      <c r="G21" s="10">
        <v>6</v>
      </c>
      <c r="H21" s="10">
        <v>3</v>
      </c>
      <c r="I21" t="s">
        <v>68</v>
      </c>
      <c r="K21" cm="1">
        <f t="array" ref="K21">GetWeapon(F$21,M21:Q21,I$21:I$26)</f>
        <v>5.160000000000001</v>
      </c>
      <c r="L21" t="s">
        <v>97</v>
      </c>
      <c r="M21" s="2"/>
      <c r="N21" s="2">
        <v>3</v>
      </c>
      <c r="O21" s="2">
        <v>1</v>
      </c>
      <c r="P21" s="2">
        <v>0</v>
      </c>
      <c r="Q21" t="s">
        <v>42</v>
      </c>
    </row>
    <row r="22" spans="1:17" ht="15" customHeight="1" x14ac:dyDescent="0.25">
      <c r="B22">
        <f t="shared" si="0"/>
        <v>17.04</v>
      </c>
      <c r="F22" s="10"/>
      <c r="G22" s="10"/>
      <c r="H22" s="10"/>
      <c r="I22" t="s">
        <v>94</v>
      </c>
      <c r="K22" cm="1">
        <f t="array" ref="K22">GetWeapon(F21,M22:Q22,I21:I25)</f>
        <v>5.68</v>
      </c>
      <c r="L22" t="s">
        <v>92</v>
      </c>
      <c r="M22" s="2">
        <v>12</v>
      </c>
      <c r="N22" s="2">
        <v>3</v>
      </c>
      <c r="O22" s="2">
        <v>1</v>
      </c>
      <c r="P22" s="2">
        <v>0</v>
      </c>
      <c r="Q22" t="s">
        <v>32</v>
      </c>
    </row>
    <row r="23" spans="1:17" ht="15" customHeight="1" x14ac:dyDescent="0.25">
      <c r="B23">
        <f t="shared" si="0"/>
        <v>33.480000000000004</v>
      </c>
      <c r="F23" s="10"/>
      <c r="G23" s="10"/>
      <c r="H23" s="10"/>
      <c r="I23" t="s">
        <v>69</v>
      </c>
      <c r="K23" cm="1">
        <f t="array" ref="K23">GetWeapon(F21,M23:Q23,I21:I26)</f>
        <v>11.16</v>
      </c>
      <c r="L23" t="s">
        <v>98</v>
      </c>
      <c r="M23" s="2"/>
      <c r="N23" s="2">
        <v>3</v>
      </c>
      <c r="O23" s="2">
        <v>2</v>
      </c>
      <c r="P23" s="2">
        <v>0</v>
      </c>
      <c r="Q23" t="s">
        <v>99</v>
      </c>
    </row>
    <row r="24" spans="1:17" x14ac:dyDescent="0.25">
      <c r="B24">
        <f t="shared" si="0"/>
        <v>0</v>
      </c>
      <c r="F24" s="10"/>
      <c r="G24" s="10"/>
      <c r="H24" s="10"/>
      <c r="I24" t="s">
        <v>79</v>
      </c>
      <c r="M24" s="2"/>
      <c r="O24" s="2"/>
      <c r="P24" s="2"/>
    </row>
    <row r="25" spans="1:17" x14ac:dyDescent="0.25">
      <c r="B25">
        <f t="shared" si="0"/>
        <v>0</v>
      </c>
      <c r="M25" s="2"/>
      <c r="O25" s="2"/>
      <c r="P25" s="2"/>
    </row>
    <row r="26" spans="1:17" x14ac:dyDescent="0.25">
      <c r="B26">
        <f t="shared" si="0"/>
        <v>0</v>
      </c>
      <c r="M26" s="2"/>
      <c r="O26" s="2"/>
      <c r="P26" s="2"/>
    </row>
    <row r="27" spans="1:17" x14ac:dyDescent="0.25">
      <c r="B27">
        <f t="shared" si="0"/>
        <v>0</v>
      </c>
      <c r="M27" s="2"/>
      <c r="O27" s="2"/>
      <c r="P27" s="2"/>
    </row>
    <row r="28" spans="1:17" ht="15" customHeight="1" x14ac:dyDescent="0.25">
      <c r="A28">
        <f>SUM(B28:B38)</f>
        <v>153.63999999999999</v>
      </c>
      <c r="B28">
        <f t="shared" si="0"/>
        <v>77.8</v>
      </c>
      <c r="C28" cm="1">
        <f t="array" ref="C28">KosztBazowy(F28:H29,I28:I33)</f>
        <v>69.8</v>
      </c>
      <c r="D28" t="s">
        <v>106</v>
      </c>
      <c r="E28">
        <v>1</v>
      </c>
      <c r="F28" s="10">
        <v>4</v>
      </c>
      <c r="G28" s="10">
        <v>3</v>
      </c>
      <c r="H28" s="10">
        <v>6</v>
      </c>
      <c r="I28" t="s">
        <v>74</v>
      </c>
      <c r="K28" cm="1">
        <f t="array" ref="K28">GetWeapon(F$28,M28:Q28,I$28:I$31)</f>
        <v>8</v>
      </c>
      <c r="L28" t="s">
        <v>93</v>
      </c>
      <c r="M28" s="2">
        <v>18</v>
      </c>
      <c r="N28" s="2">
        <v>1</v>
      </c>
      <c r="O28" s="2">
        <v>2</v>
      </c>
      <c r="P28" s="2">
        <v>0</v>
      </c>
    </row>
    <row r="29" spans="1:17" ht="15" customHeight="1" x14ac:dyDescent="0.25">
      <c r="B29">
        <f t="shared" si="0"/>
        <v>15.119999999999997</v>
      </c>
      <c r="F29" s="10"/>
      <c r="G29" s="10"/>
      <c r="H29" s="10"/>
      <c r="I29" t="s">
        <v>94</v>
      </c>
      <c r="K29" cm="1">
        <f t="array" ref="K29">GetWeapon(F28,M29:Q29,I28:I33)</f>
        <v>15.119999999999997</v>
      </c>
      <c r="L29" t="s">
        <v>101</v>
      </c>
      <c r="M29" s="2"/>
      <c r="N29" s="2">
        <v>1</v>
      </c>
      <c r="O29" s="2">
        <v>3</v>
      </c>
      <c r="P29" s="2">
        <v>0</v>
      </c>
      <c r="Q29" t="s">
        <v>41</v>
      </c>
    </row>
    <row r="30" spans="1:17" ht="15" customHeight="1" x14ac:dyDescent="0.25">
      <c r="B30">
        <f t="shared" si="0"/>
        <v>18.88</v>
      </c>
      <c r="F30" s="8"/>
      <c r="G30" s="8"/>
      <c r="H30" s="8"/>
      <c r="I30" t="s">
        <v>100</v>
      </c>
      <c r="J30">
        <f>11*1.25</f>
        <v>13.75</v>
      </c>
      <c r="K30" cm="1">
        <f t="array" ref="K30">KosztBroni(F28,M30:Q30,I28:I33)</f>
        <v>5.13</v>
      </c>
      <c r="L30" t="s">
        <v>115</v>
      </c>
      <c r="M30" s="2"/>
      <c r="N30" s="2">
        <v>1</v>
      </c>
      <c r="O30" s="2">
        <v>3</v>
      </c>
      <c r="P30" s="2">
        <v>-1</v>
      </c>
      <c r="Q30" t="s">
        <v>111</v>
      </c>
    </row>
    <row r="31" spans="1:17" ht="15" customHeight="1" x14ac:dyDescent="0.25">
      <c r="B31">
        <f t="shared" si="0"/>
        <v>0</v>
      </c>
      <c r="F31" s="8"/>
      <c r="G31" s="8"/>
      <c r="H31" s="8"/>
      <c r="I31" t="s">
        <v>79</v>
      </c>
      <c r="M31" s="2"/>
      <c r="O31" s="2"/>
      <c r="P31" s="2"/>
    </row>
    <row r="32" spans="1:17" ht="15" customHeight="1" x14ac:dyDescent="0.25">
      <c r="F32" s="8"/>
      <c r="G32" s="8"/>
      <c r="H32" s="8"/>
      <c r="I32" t="s">
        <v>109</v>
      </c>
      <c r="M32" s="2"/>
      <c r="O32" s="2"/>
      <c r="P32" s="2"/>
    </row>
    <row r="33" spans="1:17" x14ac:dyDescent="0.25">
      <c r="B33">
        <f t="shared" si="0"/>
        <v>0</v>
      </c>
      <c r="M33" s="2"/>
      <c r="O33" s="2"/>
      <c r="P33" s="2"/>
    </row>
    <row r="34" spans="1:17" ht="15" customHeight="1" x14ac:dyDescent="0.25">
      <c r="A34">
        <f>SUM(B34:B44)</f>
        <v>41.84</v>
      </c>
      <c r="B34">
        <f t="shared" ref="B34:B37" si="2">C34*E34+J34+K34*N34</f>
        <v>25.84</v>
      </c>
      <c r="C34" cm="1">
        <f t="array" ref="C34">KosztBazowy(F34:H35,I34:I38)</f>
        <v>24.88</v>
      </c>
      <c r="D34" t="s">
        <v>107</v>
      </c>
      <c r="E34">
        <v>1</v>
      </c>
      <c r="F34" s="10">
        <v>6</v>
      </c>
      <c r="G34" s="10">
        <v>3</v>
      </c>
      <c r="H34" s="10">
        <v>3</v>
      </c>
      <c r="I34" t="s">
        <v>74</v>
      </c>
      <c r="K34" cm="1">
        <f t="array" ref="K34">GetWeapon(F$34,M34:Q34,I$34:I$37)</f>
        <v>0.48</v>
      </c>
      <c r="L34" t="s">
        <v>108</v>
      </c>
      <c r="M34" s="2">
        <v>0</v>
      </c>
      <c r="N34" s="2">
        <v>2</v>
      </c>
      <c r="O34" s="2">
        <v>1</v>
      </c>
      <c r="P34" s="2">
        <v>-1</v>
      </c>
    </row>
    <row r="35" spans="1:17" ht="15" customHeight="1" x14ac:dyDescent="0.25">
      <c r="B35">
        <f t="shared" si="2"/>
        <v>16</v>
      </c>
      <c r="F35" s="10"/>
      <c r="G35" s="10"/>
      <c r="H35" s="10"/>
      <c r="I35" t="s">
        <v>94</v>
      </c>
      <c r="K35" cm="1">
        <f t="array" ref="K35">GetWeapon(F34,M35:Q35,I34:I38)</f>
        <v>8</v>
      </c>
      <c r="L35" t="s">
        <v>93</v>
      </c>
      <c r="M35" s="2">
        <v>18</v>
      </c>
      <c r="N35" s="2">
        <v>2</v>
      </c>
      <c r="O35" s="2">
        <v>2</v>
      </c>
      <c r="P35" s="2">
        <v>0</v>
      </c>
    </row>
    <row r="36" spans="1:17" x14ac:dyDescent="0.25">
      <c r="B36">
        <f t="shared" si="2"/>
        <v>0</v>
      </c>
      <c r="F36" s="10"/>
      <c r="G36" s="10"/>
      <c r="H36" s="10"/>
      <c r="I36" t="s">
        <v>79</v>
      </c>
      <c r="L36" t="s">
        <v>115</v>
      </c>
      <c r="M36" s="2"/>
      <c r="N36" s="2">
        <v>1</v>
      </c>
      <c r="O36" s="2">
        <v>1</v>
      </c>
      <c r="P36" s="2">
        <v>-1</v>
      </c>
      <c r="Q36" t="s">
        <v>111</v>
      </c>
    </row>
    <row r="37" spans="1:17" x14ac:dyDescent="0.25">
      <c r="B37">
        <f t="shared" si="2"/>
        <v>0</v>
      </c>
      <c r="F37" s="10"/>
      <c r="G37" s="10"/>
      <c r="H37" s="10"/>
      <c r="I37" t="s">
        <v>109</v>
      </c>
      <c r="M37" s="2"/>
      <c r="O37" s="2"/>
      <c r="P37" s="2"/>
    </row>
    <row r="38" spans="1:17" x14ac:dyDescent="0.25">
      <c r="B38">
        <f t="shared" si="0"/>
        <v>0</v>
      </c>
      <c r="M38" s="2"/>
      <c r="O38" s="2"/>
      <c r="P38" s="2"/>
    </row>
    <row r="39" spans="1:17" x14ac:dyDescent="0.25">
      <c r="B39">
        <f t="shared" si="0"/>
        <v>0</v>
      </c>
      <c r="F39" s="10"/>
      <c r="G39" s="10"/>
      <c r="H39" s="10"/>
      <c r="M39" s="2"/>
      <c r="O39" s="2"/>
      <c r="P39" s="2"/>
    </row>
    <row r="40" spans="1:17" x14ac:dyDescent="0.25">
      <c r="B40">
        <f t="shared" si="0"/>
        <v>0</v>
      </c>
      <c r="F40" s="10"/>
      <c r="G40" s="10"/>
      <c r="H40" s="10"/>
      <c r="M40" s="2"/>
      <c r="O40" s="2"/>
      <c r="P40" s="2"/>
    </row>
    <row r="41" spans="1:17" x14ac:dyDescent="0.25">
      <c r="B41">
        <f t="shared" si="0"/>
        <v>0</v>
      </c>
      <c r="M41" s="2"/>
      <c r="O41" s="2"/>
      <c r="P41" s="2"/>
    </row>
    <row r="42" spans="1:17" x14ac:dyDescent="0.25">
      <c r="B42">
        <f t="shared" si="0"/>
        <v>0</v>
      </c>
      <c r="M42" s="2"/>
      <c r="O42" s="2"/>
      <c r="P42" s="2"/>
    </row>
    <row r="43" spans="1:17" x14ac:dyDescent="0.25">
      <c r="B43">
        <f t="shared" si="0"/>
        <v>0</v>
      </c>
    </row>
    <row r="44" spans="1:17" x14ac:dyDescent="0.25">
      <c r="F44" s="10"/>
      <c r="G44" s="10"/>
      <c r="H44" s="10"/>
      <c r="M44" s="2"/>
      <c r="O44" s="2"/>
      <c r="P44" s="2"/>
    </row>
    <row r="45" spans="1:17" x14ac:dyDescent="0.25">
      <c r="F45" s="10"/>
      <c r="G45" s="10"/>
      <c r="H45" s="10"/>
      <c r="M45" s="2"/>
      <c r="O45" s="2"/>
      <c r="P45" s="2"/>
    </row>
    <row r="46" spans="1:17" x14ac:dyDescent="0.25">
      <c r="M46" s="2"/>
      <c r="O46" s="2"/>
      <c r="P46" s="2"/>
    </row>
  </sheetData>
  <mergeCells count="39">
    <mergeCell ref="F36:F37"/>
    <mergeCell ref="G36:G37"/>
    <mergeCell ref="H36:H37"/>
    <mergeCell ref="F23:F24"/>
    <mergeCell ref="G23:G24"/>
    <mergeCell ref="H23:H24"/>
    <mergeCell ref="F28:F29"/>
    <mergeCell ref="G28:G29"/>
    <mergeCell ref="H28:H29"/>
    <mergeCell ref="F34:F35"/>
    <mergeCell ref="G34:G35"/>
    <mergeCell ref="H34:H35"/>
    <mergeCell ref="F39:F40"/>
    <mergeCell ref="G39:G40"/>
    <mergeCell ref="H39:H40"/>
    <mergeCell ref="F44:F45"/>
    <mergeCell ref="G44:G45"/>
    <mergeCell ref="H44:H45"/>
    <mergeCell ref="F15:F16"/>
    <mergeCell ref="G15:G16"/>
    <mergeCell ref="H15:H16"/>
    <mergeCell ref="F21:F22"/>
    <mergeCell ref="G21:G22"/>
    <mergeCell ref="H21:H22"/>
    <mergeCell ref="F17:F18"/>
    <mergeCell ref="G17:G18"/>
    <mergeCell ref="H17:H18"/>
    <mergeCell ref="F9:F10"/>
    <mergeCell ref="G9:G10"/>
    <mergeCell ref="H9:H10"/>
    <mergeCell ref="F11:F12"/>
    <mergeCell ref="G11:G12"/>
    <mergeCell ref="H11:H12"/>
    <mergeCell ref="D1:H1"/>
    <mergeCell ref="I1:I2"/>
    <mergeCell ref="K1:Q1"/>
    <mergeCell ref="F3:F4"/>
    <mergeCell ref="G3:G4"/>
    <mergeCell ref="H3:H4"/>
  </mergeCells>
  <pageMargins left="0.25" right="0.25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Zbrojownia</vt:lpstr>
      <vt:lpstr>Gwardia</vt:lpstr>
      <vt:lpstr>SM</vt:lpstr>
      <vt:lpstr>Orkowie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 Maciej</dc:creator>
  <cp:lastModifiedBy>Lis Maciej</cp:lastModifiedBy>
  <cp:lastPrinted>2025-07-30T10:32:10Z</cp:lastPrinted>
  <dcterms:created xsi:type="dcterms:W3CDTF">2025-07-14T11:21:33Z</dcterms:created>
  <dcterms:modified xsi:type="dcterms:W3CDTF">2025-09-25T06:54:33Z</dcterms:modified>
</cp:coreProperties>
</file>